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a88da0782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f294c8f273f4095"/>
    <x:sheet xmlns:r="http://schemas.openxmlformats.org/officeDocument/2006/relationships" name="Sensor_Log" sheetId="2" r:id="R7fd7b01746444148"/>
    <x:sheet xmlns:r="http://schemas.openxmlformats.org/officeDocument/2006/relationships" name="Summary" sheetId="3" r:id="R2d50f6de49c0483d"/>
    <x:sheet xmlns:r="http://schemas.openxmlformats.org/officeDocument/2006/relationships" name="Instructor_Key" sheetId="4" r:id="R72034cfe0c06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0.000"/>
    <x:numFmt numFmtId="202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3eb9c12ec4467" /><Relationship Type="http://schemas.openxmlformats.org/officeDocument/2006/relationships/theme" Target="/xl/theme/theme1.xml" Id="R9775306126ea431e" /><Relationship Type="http://schemas.openxmlformats.org/officeDocument/2006/relationships/sharedStrings" Target="/xl/sharedStrings.xml" Id="R956ab58211234977" /><Relationship Type="http://schemas.openxmlformats.org/officeDocument/2006/relationships/worksheet" Target="/xl/worksheets/sheet1.xml" Id="Raf294c8f273f4095" /><Relationship Type="http://schemas.openxmlformats.org/officeDocument/2006/relationships/worksheet" Target="/xl/worksheets/sheet2.xml" Id="R7fd7b01746444148" /><Relationship Type="http://schemas.openxmlformats.org/officeDocument/2006/relationships/worksheet" Target="/xl/worksheets/sheet3.xml" Id="R2d50f6de49c0483d" /><Relationship Type="http://schemas.openxmlformats.org/officeDocument/2006/relationships/worksheet" Target="/xl/worksheets/sheet4.xml" Id="R72034cfe0c0647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e40cca7d654880" /><Relationship Type="http://schemas.openxmlformats.org/officeDocument/2006/relationships/chart" Target="/xl/drawings/charts/chart2.xml" Id="R3119769de51447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Temperature History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Temperature_C</c:v>
          </c:tx>
          <c:marker>
            <c:symbol val="none"/>
          </c:marker>
          <c:cat>
            <c:strRef>
              <c:f>'Sensor_Log'!$B$2:$B$721</c:f>
              <c:strCache>
                <c:ptCount val="0"/>
              </c:strCache>
            </c:strRef>
          </c:cat>
          <c:val>
            <c:numRef>
              <c:f>'Sensor_Log'!$C$2:$C$721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Cooling Loop History (Temp / Pressure / Flow)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Temperature_C</c:v>
          </c:tx>
          <c:marker>
            <c:symbol val="none"/>
          </c:marker>
          <c:cat>
            <c:strRef>
              <c:f>'Sensor_Log'!$B$2:$B$721</c:f>
              <c:strCache>
                <c:ptCount val="0"/>
              </c:strCache>
            </c:strRef>
          </c:cat>
          <c:val>
            <c:numRef>
              <c:f>'Sensor_Log'!$C$2:$C$721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Pressure_kPa</c:v>
          </c:tx>
          <c:marker>
            <c:symbol val="none"/>
          </c:marker>
          <c:cat>
            <c:strRef>
              <c:f>'Sensor_Log'!$B$2:$B$721</c:f>
              <c:strCache>
                <c:ptCount val="0"/>
              </c:strCache>
            </c:strRef>
          </c:cat>
          <c:val>
            <c:numRef>
              <c:f>'Sensor_Log'!$D$2:$D$721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Flow_LPM</c:v>
          </c:tx>
          <c:marker>
            <c:symbol val="none"/>
          </c:marker>
          <c:cat>
            <c:strRef>
              <c:f>'Sensor_Log'!$B$2:$B$721</c:f>
              <c:strCache>
                <c:ptCount val="0"/>
              </c:strCache>
            </c:strRef>
          </c:cat>
          <c:val>
            <c:numRef>
              <c:f>'Sensor_Log'!$E$2:$E$721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e40cca7d654880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10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19769de51447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olingLoopLog" displayName="CoolingLoopLog" ref="A1:J721" headerRowCount="1" totalsRowCount="0" totalsRowShown="0">
  <x:tableColumns count="10">
    <x:tableColumn id="1" name="Record_ID"/>
    <x:tableColumn id="2" name="Timestamp"/>
    <x:tableColumn id="3" name="Temperature_C"/>
    <x:tableColumn id="4" name="Pressure_kPa"/>
    <x:tableColumn id="5" name="Flow_LPM"/>
    <x:tableColumn id="6" name="Operator_Note"/>
    <x:tableColumn id="7" name="Legacy_Status"/>
    <x:tableColumn id="8" name="Temp_Alert"/>
    <x:tableColumn id="9" name="Flow_Alert"/>
    <x:tableColumn id="10" name="Data_Qua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7b3f6cd5b04e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f4c9ab53dd14ea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28" customHeight="1">
      <x:c r="A1" s="5" t="str">
        <x:v>EGN 321 Demo Original Artifact — Cooling Loop Operations Workbook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Purpose</x:v>
      </x:c>
      <x:c r="B3" s="16" t="str">
        <x:v>Legacy workbook used by operators to review cooling-loop temperature, pressure, and flow history.</x:v>
      </x:c>
    </x:row>
    <x:row r="4">
      <x:c r="A4" s="12" t="str">
        <x:v>Demo Use</x:v>
      </x:c>
      <x:c r="B4" s="16" t="str">
        <x:v>Use this as the ORIGINAL ARTIFACT for Module 8 Assignment 8.2.</x:v>
      </x:c>
    </x:row>
    <x:row r="5">
      <x:c r="A5" s="12" t="str">
        <x:v>Records</x:v>
      </x:c>
      <x:c r="B5" s="16" t="str">
        <x:v>720 timestamped readings (2 hours at 10-second intervals).</x:v>
      </x:c>
    </x:row>
    <x:row r="6">
      <x:c r="A6" s="12" t="str">
        <x:v>Primary Units</x:v>
      </x:c>
      <x:c r="B6" s="16" t="str">
        <x:v>Temperature = °C; Pressure = kPa; Flow = L/min.</x:v>
      </x:c>
    </x:row>
    <x:row r="7">
      <x:c r="A7" s="12" t="str">
        <x:v>Normal Operating Intent</x:v>
      </x:c>
      <x:c r="B7" s="16" t="str">
        <x:v>Temperature &lt; 30 °C, Pressure 50–400 kPa, Flow &gt;= 25 L/min.</x:v>
      </x:c>
    </x:row>
    <x:row r="8">
      <x:c r="A8" s="12" t="str">
        <x:v>Legacy Workflow</x:v>
      </x:c>
      <x:c r="B8" s="16" t="str">
        <x:v>Operator reviews rows, spreadsheet formulas, summary counts, and charts.</x:v>
      </x:c>
    </x:row>
    <x:row r="9">
      <x:c r="A9" s="12" t="str">
        <x:v>Known Challenge</x:v>
      </x:c>
      <x:c r="B9" s="16" t="str">
        <x:v>The workbook was built over time and should not be assumed to be correct in every edge case.</x:v>
      </x:c>
    </x:row>
    <x:row r="10">
      <x:c r="A10" s="12" t="str">
        <x:v>Student Goal</x:v>
      </x:c>
      <x:c r="B10" s="16" t="str">
        <x:v>Replace/improve the workbook with tested, validated, documented engineering software.</x:v>
      </x:c>
    </x:row>
    <x:row r="11">
      <x:c r="A11" s="12" t="str">
        <x:v>Capstone Evidence</x:v>
      </x:c>
      <x:c r="B11" s="16" t="str">
        <x:v>Compare known-correct workbook cases, defect/edge cases, refusal behavior, dashboards, logs, recovery, and handoff.</x:v>
      </x:c>
    </x:row>
    <x:row r="12">
      <x:c r="A12" s="12" t="str">
        <x:v>Important</x:v>
      </x:c>
      <x:c r="B12" s="16" t="str">
        <x:v>Do not treat spreadsheet output as automatically authoritative. Verify it.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6" max="6" width="26" hidden="0" customWidth="1"/>
    <x:col min="1" max="1" width="15" hidden="0" customWidth="1"/>
    <x:col min="3" max="3" width="15" hidden="0" customWidth="1"/>
    <x:col min="4" max="4" width="15" hidden="0" customWidth="1"/>
    <x:col min="5" max="5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2" max="2" width="22" hidden="0" customWidth="1"/>
  </x:cols>
  <x:sheetData>
    <x:row r="1">
      <x:c r="A1" s="30" t="str">
        <x:v>Record_ID</x:v>
      </x:c>
      <x:c r="B1" s="30" t="str">
        <x:v>Timestamp</x:v>
      </x:c>
      <x:c r="C1" s="30" t="str">
        <x:v>Temperature_C</x:v>
      </x:c>
      <x:c r="D1" s="30" t="str">
        <x:v>Pressure_kPa</x:v>
      </x:c>
      <x:c r="E1" s="30" t="str">
        <x:v>Flow_LPM</x:v>
      </x:c>
      <x:c r="F1" s="30" t="str">
        <x:v>Operator_Note</x:v>
      </x:c>
      <x:c r="G1" s="30" t="str">
        <x:v>Legacy_Status</x:v>
      </x:c>
      <x:c r="H1" s="30" t="str">
        <x:v>Temp_Alert</x:v>
      </x:c>
      <x:c r="I1" s="30" t="str">
        <x:v>Flow_Alert</x:v>
      </x:c>
      <x:c r="J1" s="30" t="str">
        <x:v>Data_Quality</x:v>
      </x:c>
    </x:row>
    <x:row r="2">
      <x:c r="A2" s="31" t="n">
        <x:v>1</x:v>
      </x:c>
      <x:c r="B2" s="32" t="n">
        <x:v>46310.333333333336</x:v>
      </x:c>
      <x:c r="C2" s="33" t="n">
        <x:v>24.042</x:v>
      </x:c>
      <x:c r="D2" s="33" t="n">
        <x:v>208.575</x:v>
      </x:c>
      <x:c r="E2" s="33" t="n">
        <x:v>81.46</x:v>
      </x:c>
      <x:c r="F2" s="31" t="str"/>
      <x:c r="G2" s="31" t="str">
        <x:f>IF(C2="","NO DATA",IF(C2&gt;=30,"ALERT","NORMAL"))</x:f>
        <x:v>NORMAL</x:v>
      </x:c>
      <x:c r="H2" s="31" t="str">
        <x:f>IF(C2="","MISSING",IF(C2&gt;=30,"HIGH TEMP","OK"))</x:f>
        <x:v>OK</x:v>
      </x:c>
      <x:c r="I2" s="31" t="str">
        <x:f>IF(E2="","NO DATA",IF(E2&lt;20,"LOW FLOW","OK"))</x:f>
        <x:v>OK</x:v>
      </x:c>
      <x:c r="J2" s="31" t="str">
        <x:f>IF(OR(C2="",D2="",E2=""),"MISSING",IF(OR(C2&lt;0,C2&gt;60,D2&lt;50,D2&gt;400,E2&lt;0,E2&gt;200),"REVIEW","OK"))</x:f>
        <x:v>OK</x:v>
      </x:c>
    </x:row>
    <x:row r="3">
      <x:c r="A3" s="31" t="n">
        <x:v>2</x:v>
      </x:c>
      <x:c r="B3" s="32" t="n">
        <x:v>46310.333449074074</x:v>
      </x:c>
      <x:c r="C3" s="33" t="n">
        <x:v>23.937</x:v>
      </x:c>
      <x:c r="D3" s="33" t="n">
        <x:v>210.838</x:v>
      </x:c>
      <x:c r="E3" s="33" t="n">
        <x:v>82.56</x:v>
      </x:c>
      <x:c r="F3" s="31" t="str"/>
      <x:c r="G3" s="31" t="str">
        <x:f>IF(C3="","NO DATA",IF(C3&gt;=30,"ALERT","NORMAL"))</x:f>
        <x:v>NORMAL</x:v>
      </x:c>
      <x:c r="H3" s="31" t="str">
        <x:f>IF(C3="","MISSING",IF(C3&gt;=30,"HIGH TEMP","OK"))</x:f>
        <x:v>OK</x:v>
      </x:c>
      <x:c r="I3" s="31" t="str">
        <x:f>IF(E3="","NO DATA",IF(E3&lt;20,"LOW FLOW","OK"))</x:f>
        <x:v>OK</x:v>
      </x:c>
      <x:c r="J3" s="31" t="str">
        <x:f>IF(OR(C3="",D3="",E3=""),"MISSING",IF(OR(C3&lt;0,C3&gt;60,D3&lt;50,D3&gt;400,E3&lt;0,E3&gt;200),"REVIEW","OK"))</x:f>
        <x:v>OK</x:v>
      </x:c>
    </x:row>
    <x:row r="4">
      <x:c r="A4" s="31" t="n">
        <x:v>3</x:v>
      </x:c>
      <x:c r="B4" s="32" t="n">
        <x:v>46310.33356481481</x:v>
      </x:c>
      <x:c r="C4" s="33" t="n">
        <x:v>24.158</x:v>
      </x:c>
      <x:c r="D4" s="33" t="n">
        <x:v>209.019</x:v>
      </x:c>
      <x:c r="E4" s="33" t="n">
        <x:v>82.085</x:v>
      </x:c>
      <x:c r="F4" s="31" t="str"/>
      <x:c r="G4" s="31" t="str">
        <x:f>IF(C4="","NO DATA",IF(C4&gt;=30,"ALERT","NORMAL"))</x:f>
        <x:v>NORMAL</x:v>
      </x:c>
      <x:c r="H4" s="31" t="str">
        <x:f>IF(C4="","MISSING",IF(C4&gt;=30,"HIGH TEMP","OK"))</x:f>
        <x:v>OK</x:v>
      </x:c>
      <x:c r="I4" s="31" t="str">
        <x:f>IF(E4="","NO DATA",IF(E4&lt;20,"LOW FLOW","OK"))</x:f>
        <x:v>OK</x:v>
      </x:c>
      <x:c r="J4" s="31" t="str">
        <x:f>IF(OR(C4="",D4="",E4=""),"MISSING",IF(OR(C4&lt;0,C4&gt;60,D4&lt;50,D4&gt;400,E4&lt;0,E4&gt;200),"REVIEW","OK"))</x:f>
        <x:v>OK</x:v>
      </x:c>
    </x:row>
    <x:row r="5">
      <x:c r="A5" s="31" t="n">
        <x:v>4</x:v>
      </x:c>
      <x:c r="B5" s="32" t="n">
        <x:v>46310.33368055556</x:v>
      </x:c>
      <x:c r="C5" s="33" t="n">
        <x:v>23.919</x:v>
      </x:c>
      <x:c r="D5" s="33" t="n">
        <x:v>209.542</x:v>
      </x:c>
      <x:c r="E5" s="33" t="n">
        <x:v>82.421</x:v>
      </x:c>
      <x:c r="F5" s="31" t="str"/>
      <x:c r="G5" s="31" t="str">
        <x:f>IF(C5="","NO DATA",IF(C5&gt;=30,"ALERT","NORMAL"))</x:f>
        <x:v>NORMAL</x:v>
      </x:c>
      <x:c r="H5" s="31" t="str">
        <x:f>IF(C5="","MISSING",IF(C5&gt;=30,"HIGH TEMP","OK"))</x:f>
        <x:v>OK</x:v>
      </x:c>
      <x:c r="I5" s="31" t="str">
        <x:f>IF(E5="","NO DATA",IF(E5&lt;20,"LOW FLOW","OK"))</x:f>
        <x:v>OK</x:v>
      </x:c>
      <x:c r="J5" s="31" t="str">
        <x:f>IF(OR(C5="",D5="",E5=""),"MISSING",IF(OR(C5&lt;0,C5&gt;60,D5&lt;50,D5&gt;400,E5&lt;0,E5&gt;200),"REVIEW","OK"))</x:f>
        <x:v>OK</x:v>
      </x:c>
    </x:row>
    <x:row r="6">
      <x:c r="A6" s="31" t="n">
        <x:v>5</x:v>
      </x:c>
      <x:c r="B6" s="32" t="n">
        <x:v>46310.3337962963</x:v>
      </x:c>
      <x:c r="C6" s="33" t="n">
        <x:v>23.938</x:v>
      </x:c>
      <x:c r="D6" s="33" t="n">
        <x:v>209.611</x:v>
      </x:c>
      <x:c r="E6" s="33" t="n">
        <x:v>82.902</x:v>
      </x:c>
      <x:c r="F6" s="31" t="str"/>
      <x:c r="G6" s="31" t="str">
        <x:f>IF(C6="","NO DATA",IF(C6&gt;=30,"ALERT","NORMAL"))</x:f>
        <x:v>NORMAL</x:v>
      </x:c>
      <x:c r="H6" s="31" t="str">
        <x:f>IF(C6="","MISSING",IF(C6&gt;=30,"HIGH TEMP","OK"))</x:f>
        <x:v>OK</x:v>
      </x:c>
      <x:c r="I6" s="31" t="str">
        <x:f>IF(E6="","NO DATA",IF(E6&lt;20,"LOW FLOW","OK"))</x:f>
        <x:v>OK</x:v>
      </x:c>
      <x:c r="J6" s="31" t="str">
        <x:f>IF(OR(C6="",D6="",E6=""),"MISSING",IF(OR(C6&lt;0,C6&gt;60,D6&lt;50,D6&gt;400,E6&lt;0,E6&gt;200),"REVIEW","OK"))</x:f>
        <x:v>OK</x:v>
      </x:c>
    </x:row>
    <x:row r="7">
      <x:c r="A7" s="31" t="n">
        <x:v>6</x:v>
      </x:c>
      <x:c r="B7" s="32" t="n">
        <x:v>46310.33391203704</x:v>
      </x:c>
      <x:c r="C7" s="33" t="n">
        <x:v>24.113</x:v>
      </x:c>
      <x:c r="D7" s="33" t="n">
        <x:v>209.804</x:v>
      </x:c>
      <x:c r="E7" s="33" t="n">
        <x:v>82.89</x:v>
      </x:c>
      <x:c r="F7" s="31" t="str"/>
      <x:c r="G7" s="31" t="str">
        <x:f>IF(C7="","NO DATA",IF(C7&gt;=30,"ALERT","NORMAL"))</x:f>
        <x:v>NORMAL</x:v>
      </x:c>
      <x:c r="H7" s="31" t="str">
        <x:f>IF(C7="","MISSING",IF(C7&gt;=30,"HIGH TEMP","OK"))</x:f>
        <x:v>OK</x:v>
      </x:c>
      <x:c r="I7" s="31" t="str">
        <x:f>IF(E7="","NO DATA",IF(E7&lt;20,"LOW FLOW","OK"))</x:f>
        <x:v>OK</x:v>
      </x:c>
      <x:c r="J7" s="31" t="str">
        <x:f>IF(OR(C7="",D7="",E7=""),"MISSING",IF(OR(C7&lt;0,C7&gt;60,D7&lt;50,D7&gt;400,E7&lt;0,E7&gt;200),"REVIEW","OK"))</x:f>
        <x:v>OK</x:v>
      </x:c>
    </x:row>
    <x:row r="8">
      <x:c r="A8" s="31" t="n">
        <x:v>7</x:v>
      </x:c>
      <x:c r="B8" s="32" t="n">
        <x:v>46310.334027777775</x:v>
      </x:c>
      <x:c r="C8" s="33" t="n">
        <x:v>24.212</x:v>
      </x:c>
      <x:c r="D8" s="33" t="n">
        <x:v>209.289</x:v>
      </x:c>
      <x:c r="E8" s="33" t="n">
        <x:v>83.542</x:v>
      </x:c>
      <x:c r="F8" s="31" t="str"/>
      <x:c r="G8" s="31" t="str">
        <x:f>IF(C8="","NO DATA",IF(C8&gt;=30,"ALERT","NORMAL"))</x:f>
        <x:v>NORMAL</x:v>
      </x:c>
      <x:c r="H8" s="31" t="str">
        <x:f>IF(C8="","MISSING",IF(C8&gt;=30,"HIGH TEMP","OK"))</x:f>
        <x:v>OK</x:v>
      </x:c>
      <x:c r="I8" s="31" t="str">
        <x:f>IF(E8="","NO DATA",IF(E8&lt;20,"LOW FLOW","OK"))</x:f>
        <x:v>OK</x:v>
      </x:c>
      <x:c r="J8" s="31" t="str">
        <x:f>IF(OR(C8="",D8="",E8=""),"MISSING",IF(OR(C8&lt;0,C8&gt;60,D8&lt;50,D8&gt;400,E8&lt;0,E8&gt;200),"REVIEW","OK"))</x:f>
        <x:v>OK</x:v>
      </x:c>
    </x:row>
    <x:row r="9">
      <x:c r="A9" s="31" t="n">
        <x:v>8</x:v>
      </x:c>
      <x:c r="B9" s="32" t="n">
        <x:v>46310.33414351852</x:v>
      </x:c>
      <x:c r="C9" s="33" t="n">
        <x:v>24.198</x:v>
      </x:c>
      <x:c r="D9" s="33" t="n">
        <x:v>210.416</x:v>
      </x:c>
      <x:c r="E9" s="33" t="n">
        <x:v>82.112</x:v>
      </x:c>
      <x:c r="F9" s="31" t="str"/>
      <x:c r="G9" s="31" t="str">
        <x:f>IF(C9="","NO DATA",IF(C9&gt;=30,"ALERT","NORMAL"))</x:f>
        <x:v>NORMAL</x:v>
      </x:c>
      <x:c r="H9" s="31" t="str">
        <x:f>IF(C9="","MISSING",IF(C9&gt;=30,"HIGH TEMP","OK"))</x:f>
        <x:v>OK</x:v>
      </x:c>
      <x:c r="I9" s="31" t="str">
        <x:f>IF(E9="","NO DATA",IF(E9&lt;20,"LOW FLOW","OK"))</x:f>
        <x:v>OK</x:v>
      </x:c>
      <x:c r="J9" s="31" t="str">
        <x:f>IF(OR(C9="",D9="",E9=""),"MISSING",IF(OR(C9&lt;0,C9&gt;60,D9&lt;50,D9&gt;400,E9&lt;0,E9&gt;200),"REVIEW","OK"))</x:f>
        <x:v>OK</x:v>
      </x:c>
    </x:row>
    <x:row r="10">
      <x:c r="A10" s="31" t="n">
        <x:v>9</x:v>
      </x:c>
      <x:c r="B10" s="32" t="n">
        <x:v>46310.33425925926</x:v>
      </x:c>
      <x:c r="C10" s="33" t="n">
        <x:v>24.294</x:v>
      </x:c>
      <x:c r="D10" s="33" t="n">
        <x:v>210.531</x:v>
      </x:c>
      <x:c r="E10" s="33" t="n">
        <x:v>82.09</x:v>
      </x:c>
      <x:c r="F10" s="31" t="str"/>
      <x:c r="G10" s="31" t="str">
        <x:f>IF(C10="","NO DATA",IF(C10&gt;=30,"ALERT","NORMAL"))</x:f>
        <x:v>NORMAL</x:v>
      </x:c>
      <x:c r="H10" s="31" t="str">
        <x:f>IF(C10="","MISSING",IF(C10&gt;=30,"HIGH TEMP","OK"))</x:f>
        <x:v>OK</x:v>
      </x:c>
      <x:c r="I10" s="31" t="str">
        <x:f>IF(E10="","NO DATA",IF(E10&lt;20,"LOW FLOW","OK"))</x:f>
        <x:v>OK</x:v>
      </x:c>
      <x:c r="J10" s="31" t="str">
        <x:f>IF(OR(C10="",D10="",E10=""),"MISSING",IF(OR(C10&lt;0,C10&gt;60,D10&lt;50,D10&gt;400,E10&lt;0,E10&gt;200),"REVIEW","OK"))</x:f>
        <x:v>OK</x:v>
      </x:c>
    </x:row>
    <x:row r="11">
      <x:c r="A11" s="31" t="n">
        <x:v>10</x:v>
      </x:c>
      <x:c r="B11" s="32" t="n">
        <x:v>46310.334375</x:v>
      </x:c>
      <x:c r="C11" s="33" t="n">
        <x:v>24.055</x:v>
      </x:c>
      <x:c r="D11" s="33" t="n">
        <x:v>212.188</x:v>
      </x:c>
      <x:c r="E11" s="33" t="n">
        <x:v>83.442</x:v>
      </x:c>
      <x:c r="F11" s="31" t="str"/>
      <x:c r="G11" s="31" t="str">
        <x:f>IF(C11="","NO DATA",IF(C11&gt;=30,"ALERT","NORMAL"))</x:f>
        <x:v>NORMAL</x:v>
      </x:c>
      <x:c r="H11" s="31" t="str">
        <x:f>IF(C11="","MISSING",IF(C11&gt;=30,"HIGH TEMP","OK"))</x:f>
        <x:v>OK</x:v>
      </x:c>
      <x:c r="I11" s="31" t="str">
        <x:f>IF(E11="","NO DATA",IF(E11&lt;20,"LOW FLOW","OK"))</x:f>
        <x:v>OK</x:v>
      </x:c>
      <x:c r="J11" s="31" t="str">
        <x:f>IF(OR(C11="",D11="",E11=""),"MISSING",IF(OR(C11&lt;0,C11&gt;60,D11&lt;50,D11&gt;400,E11&lt;0,E11&gt;200),"REVIEW","OK"))</x:f>
        <x:v>OK</x:v>
      </x:c>
    </x:row>
    <x:row r="12">
      <x:c r="A12" s="31" t="n">
        <x:v>11</x:v>
      </x:c>
      <x:c r="B12" s="32" t="n">
        <x:v>46310.33449074074</x:v>
      </x:c>
      <x:c r="C12" s="33" t="n">
        <x:v>24.287</x:v>
      </x:c>
      <x:c r="D12" s="33" t="n">
        <x:v>211.957</x:v>
      </x:c>
      <x:c r="E12" s="33" t="n">
        <x:v>83.404</x:v>
      </x:c>
      <x:c r="F12" s="31" t="str"/>
      <x:c r="G12" s="31" t="str">
        <x:f>IF(C12="","NO DATA",IF(C12&gt;=30,"ALERT","NORMAL"))</x:f>
        <x:v>NORMAL</x:v>
      </x:c>
      <x:c r="H12" s="31" t="str">
        <x:f>IF(C12="","MISSING",IF(C12&gt;=30,"HIGH TEMP","OK"))</x:f>
        <x:v>OK</x:v>
      </x:c>
      <x:c r="I12" s="31" t="str">
        <x:f>IF(E12="","NO DATA",IF(E12&lt;20,"LOW FLOW","OK"))</x:f>
        <x:v>OK</x:v>
      </x:c>
      <x:c r="J12" s="31" t="str">
        <x:f>IF(OR(C12="",D12="",E12=""),"MISSING",IF(OR(C12&lt;0,C12&gt;60,D12&lt;50,D12&gt;400,E12&lt;0,E12&gt;200),"REVIEW","OK"))</x:f>
        <x:v>OK</x:v>
      </x:c>
    </x:row>
    <x:row r="13">
      <x:c r="A13" s="31" t="n">
        <x:v>12</x:v>
      </x:c>
      <x:c r="B13" s="32" t="n">
        <x:v>46310.33460648148</x:v>
      </x:c>
      <x:c r="C13" s="33" t="n">
        <x:v>24.355</x:v>
      </x:c>
      <x:c r="D13" s="33" t="n">
        <x:v>211.025</x:v>
      </x:c>
      <x:c r="E13" s="33" t="n">
        <x:v>83.563</x:v>
      </x:c>
      <x:c r="F13" s="31" t="str"/>
      <x:c r="G13" s="31" t="str">
        <x:f>IF(C13="","NO DATA",IF(C13&gt;=30,"ALERT","NORMAL"))</x:f>
        <x:v>NORMAL</x:v>
      </x:c>
      <x:c r="H13" s="31" t="str">
        <x:f>IF(C13="","MISSING",IF(C13&gt;=30,"HIGH TEMP","OK"))</x:f>
        <x:v>OK</x:v>
      </x:c>
      <x:c r="I13" s="31" t="str">
        <x:f>IF(E13="","NO DATA",IF(E13&lt;20,"LOW FLOW","OK"))</x:f>
        <x:v>OK</x:v>
      </x:c>
      <x:c r="J13" s="31" t="str">
        <x:f>IF(OR(C13="",D13="",E13=""),"MISSING",IF(OR(C13&lt;0,C13&gt;60,D13&lt;50,D13&gt;400,E13&lt;0,E13&gt;200),"REVIEW","OK"))</x:f>
        <x:v>OK</x:v>
      </x:c>
    </x:row>
    <x:row r="14">
      <x:c r="A14" s="31" t="n">
        <x:v>13</x:v>
      </x:c>
      <x:c r="B14" s="32" t="n">
        <x:v>46310.33472222222</x:v>
      </x:c>
      <x:c r="C14" s="33" t="n">
        <x:v>24.33</x:v>
      </x:c>
      <x:c r="D14" s="33" t="n">
        <x:v>211.866</x:v>
      </x:c>
      <x:c r="E14" s="33" t="n">
        <x:v>84.425</x:v>
      </x:c>
      <x:c r="F14" s="31" t="str"/>
      <x:c r="G14" s="31" t="str">
        <x:f>IF(C14="","NO DATA",IF(C14&gt;=30,"ALERT","NORMAL"))</x:f>
        <x:v>NORMAL</x:v>
      </x:c>
      <x:c r="H14" s="31" t="str">
        <x:f>IF(C14="","MISSING",IF(C14&gt;=30,"HIGH TEMP","OK"))</x:f>
        <x:v>OK</x:v>
      </x:c>
      <x:c r="I14" s="31" t="str">
        <x:f>IF(E14="","NO DATA",IF(E14&lt;20,"LOW FLOW","OK"))</x:f>
        <x:v>OK</x:v>
      </x:c>
      <x:c r="J14" s="31" t="str">
        <x:f>IF(OR(C14="",D14="",E14=""),"MISSING",IF(OR(C14&lt;0,C14&gt;60,D14&lt;50,D14&gt;400,E14&lt;0,E14&gt;200),"REVIEW","OK"))</x:f>
        <x:v>OK</x:v>
      </x:c>
    </x:row>
    <x:row r="15">
      <x:c r="A15" s="31" t="n">
        <x:v>14</x:v>
      </x:c>
      <x:c r="B15" s="32" t="n">
        <x:v>46310.33483796296</x:v>
      </x:c>
      <x:c r="C15" s="33" t="n">
        <x:v>24.272</x:v>
      </x:c>
      <x:c r="D15" s="33" t="n">
        <x:v>212.242</x:v>
      </x:c>
      <x:c r="E15" s="33" t="n">
        <x:v>82.581</x:v>
      </x:c>
      <x:c r="F15" s="31" t="str"/>
      <x:c r="G15" s="31" t="str">
        <x:f>IF(C15="","NO DATA",IF(C15&gt;=30,"ALERT","NORMAL"))</x:f>
        <x:v>NORMAL</x:v>
      </x:c>
      <x:c r="H15" s="31" t="str">
        <x:f>IF(C15="","MISSING",IF(C15&gt;=30,"HIGH TEMP","OK"))</x:f>
        <x:v>OK</x:v>
      </x:c>
      <x:c r="I15" s="31" t="str">
        <x:f>IF(E15="","NO DATA",IF(E15&lt;20,"LOW FLOW","OK"))</x:f>
        <x:v>OK</x:v>
      </x:c>
      <x:c r="J15" s="31" t="str">
        <x:f>IF(OR(C15="",D15="",E15=""),"MISSING",IF(OR(C15&lt;0,C15&gt;60,D15&lt;50,D15&gt;400,E15&lt;0,E15&gt;200),"REVIEW","OK"))</x:f>
        <x:v>OK</x:v>
      </x:c>
    </x:row>
    <x:row r="16">
      <x:c r="A16" s="31" t="n">
        <x:v>15</x:v>
      </x:c>
      <x:c r="B16" s="32" t="n">
        <x:v>46310.33495370371</x:v>
      </x:c>
      <x:c r="C16" s="33" t="n">
        <x:v>24.184</x:v>
      </x:c>
      <x:c r="D16" s="33" t="n">
        <x:v>211.114</x:v>
      </x:c>
      <x:c r="E16" s="33" t="n">
        <x:v>82.774</x:v>
      </x:c>
      <x:c r="F16" s="31" t="str"/>
      <x:c r="G16" s="31" t="str">
        <x:f>IF(C16="","NO DATA",IF(C16&gt;=30,"ALERT","NORMAL"))</x:f>
        <x:v>NORMAL</x:v>
      </x:c>
      <x:c r="H16" s="31" t="str">
        <x:f>IF(C16="","MISSING",IF(C16&gt;=30,"HIGH TEMP","OK"))</x:f>
        <x:v>OK</x:v>
      </x:c>
      <x:c r="I16" s="31" t="str">
        <x:f>IF(E16="","NO DATA",IF(E16&lt;20,"LOW FLOW","OK"))</x:f>
        <x:v>OK</x:v>
      </x:c>
      <x:c r="J16" s="31" t="str">
        <x:f>IF(OR(C16="",D16="",E16=""),"MISSING",IF(OR(C16&lt;0,C16&gt;60,D16&lt;50,D16&gt;400,E16&lt;0,E16&gt;200),"REVIEW","OK"))</x:f>
        <x:v>OK</x:v>
      </x:c>
    </x:row>
    <x:row r="17">
      <x:c r="A17" s="31" t="n">
        <x:v>16</x:v>
      </x:c>
      <x:c r="B17" s="32" t="n">
        <x:v>46310.335069444445</x:v>
      </x:c>
      <x:c r="C17" s="33" t="n">
        <x:v>24.202</x:v>
      </x:c>
      <x:c r="D17" s="33" t="n">
        <x:v>210.664</x:v>
      </x:c>
      <x:c r="E17" s="33" t="n">
        <x:v>83.358</x:v>
      </x:c>
      <x:c r="F17" s="31" t="str"/>
      <x:c r="G17" s="31" t="str">
        <x:f>IF(C17="","NO DATA",IF(C17&gt;=30,"ALERT","NORMAL"))</x:f>
        <x:v>NORMAL</x:v>
      </x:c>
      <x:c r="H17" s="31" t="str">
        <x:f>IF(C17="","MISSING",IF(C17&gt;=30,"HIGH TEMP","OK"))</x:f>
        <x:v>OK</x:v>
      </x:c>
      <x:c r="I17" s="31" t="str">
        <x:f>IF(E17="","NO DATA",IF(E17&lt;20,"LOW FLOW","OK"))</x:f>
        <x:v>OK</x:v>
      </x:c>
      <x:c r="J17" s="31" t="str">
        <x:f>IF(OR(C17="",D17="",E17=""),"MISSING",IF(OR(C17&lt;0,C17&gt;60,D17&lt;50,D17&gt;400,E17&lt;0,E17&gt;200),"REVIEW","OK"))</x:f>
        <x:v>OK</x:v>
      </x:c>
    </x:row>
    <x:row r="18">
      <x:c r="A18" s="31" t="n">
        <x:v>17</x:v>
      </x:c>
      <x:c r="B18" s="32" t="n">
        <x:v>46310.335185185184</x:v>
      </x:c>
      <x:c r="C18" s="33" t="n">
        <x:v>24.339</x:v>
      </x:c>
      <x:c r="D18" s="33" t="n">
        <x:v>211.569</x:v>
      </x:c>
      <x:c r="E18" s="33" t="n">
        <x:v>83.683</x:v>
      </x:c>
      <x:c r="F18" s="31" t="str"/>
      <x:c r="G18" s="31" t="str">
        <x:f>IF(C18="","NO DATA",IF(C18&gt;=30,"ALERT","NORMAL"))</x:f>
        <x:v>NORMAL</x:v>
      </x:c>
      <x:c r="H18" s="31" t="str">
        <x:f>IF(C18="","MISSING",IF(C18&gt;=30,"HIGH TEMP","OK"))</x:f>
        <x:v>OK</x:v>
      </x:c>
      <x:c r="I18" s="31" t="str">
        <x:f>IF(E18="","NO DATA",IF(E18&lt;20,"LOW FLOW","OK"))</x:f>
        <x:v>OK</x:v>
      </x:c>
      <x:c r="J18" s="31" t="str">
        <x:f>IF(OR(C18="",D18="",E18=""),"MISSING",IF(OR(C18&lt;0,C18&gt;60,D18&lt;50,D18&gt;400,E18&lt;0,E18&gt;200),"REVIEW","OK"))</x:f>
        <x:v>OK</x:v>
      </x:c>
    </x:row>
    <x:row r="19">
      <x:c r="A19" s="31" t="n">
        <x:v>18</x:v>
      </x:c>
      <x:c r="B19" s="32" t="n">
        <x:v>46310.33530092592</x:v>
      </x:c>
      <x:c r="C19" s="33" t="n">
        <x:v>24.227</x:v>
      </x:c>
      <x:c r="D19" s="33" t="n">
        <x:v>211.386</x:v>
      </x:c>
      <x:c r="E19" s="33" t="n">
        <x:v>85.142</x:v>
      </x:c>
      <x:c r="F19" s="31" t="str"/>
      <x:c r="G19" s="31" t="str">
        <x:f>IF(C19="","NO DATA",IF(C19&gt;=30,"ALERT","NORMAL"))</x:f>
        <x:v>NORMAL</x:v>
      </x:c>
      <x:c r="H19" s="31" t="str">
        <x:f>IF(C19="","MISSING",IF(C19&gt;=30,"HIGH TEMP","OK"))</x:f>
        <x:v>OK</x:v>
      </x:c>
      <x:c r="I19" s="31" t="str">
        <x:f>IF(E19="","NO DATA",IF(E19&lt;20,"LOW FLOW","OK"))</x:f>
        <x:v>OK</x:v>
      </x:c>
      <x:c r="J19" s="31" t="str">
        <x:f>IF(OR(C19="",D19="",E19=""),"MISSING",IF(OR(C19&lt;0,C19&gt;60,D19&lt;50,D19&gt;400,E19&lt;0,E19&gt;200),"REVIEW","OK"))</x:f>
        <x:v>OK</x:v>
      </x:c>
    </x:row>
    <x:row r="20">
      <x:c r="A20" s="31" t="n">
        <x:v>19</x:v>
      </x:c>
      <x:c r="B20" s="32" t="n">
        <x:v>46310.33541666667</x:v>
      </x:c>
      <x:c r="C20" s="33" t="n">
        <x:v>24.374</x:v>
      </x:c>
      <x:c r="D20" s="33" t="n">
        <x:v>212.522</x:v>
      </x:c>
      <x:c r="E20" s="33" t="n">
        <x:v>83.4</x:v>
      </x:c>
      <x:c r="F20" s="31" t="str"/>
      <x:c r="G20" s="31" t="str">
        <x:f>IF(C20="","NO DATA",IF(C20&gt;=30,"ALERT","NORMAL"))</x:f>
        <x:v>NORMAL</x:v>
      </x:c>
      <x:c r="H20" s="31" t="str">
        <x:f>IF(C20="","MISSING",IF(C20&gt;=30,"HIGH TEMP","OK"))</x:f>
        <x:v>OK</x:v>
      </x:c>
      <x:c r="I20" s="31" t="str">
        <x:f>IF(E20="","NO DATA",IF(E20&lt;20,"LOW FLOW","OK"))</x:f>
        <x:v>OK</x:v>
      </x:c>
      <x:c r="J20" s="31" t="str">
        <x:f>IF(OR(C20="",D20="",E20=""),"MISSING",IF(OR(C20&lt;0,C20&gt;60,D20&lt;50,D20&gt;400,E20&lt;0,E20&gt;200),"REVIEW","OK"))</x:f>
        <x:v>OK</x:v>
      </x:c>
    </x:row>
    <x:row r="21">
      <x:c r="A21" s="31" t="n">
        <x:v>20</x:v>
      </x:c>
      <x:c r="B21" s="32" t="n">
        <x:v>46310.33553240741</x:v>
      </x:c>
      <x:c r="C21" s="33" t="n">
        <x:v>24.413</x:v>
      </x:c>
      <x:c r="D21" s="33" t="n">
        <x:v>211.291</x:v>
      </x:c>
      <x:c r="E21" s="33" t="n">
        <x:v>83.991</x:v>
      </x:c>
      <x:c r="F21" s="31" t="str"/>
      <x:c r="G21" s="31" t="str">
        <x:f>IF(C21="","NO DATA",IF(C21&gt;=30,"ALERT","NORMAL"))</x:f>
        <x:v>NORMAL</x:v>
      </x:c>
      <x:c r="H21" s="31" t="str">
        <x:f>IF(C21="","MISSING",IF(C21&gt;=30,"HIGH TEMP","OK"))</x:f>
        <x:v>OK</x:v>
      </x:c>
      <x:c r="I21" s="31" t="str">
        <x:f>IF(E21="","NO DATA",IF(E21&lt;20,"LOW FLOW","OK"))</x:f>
        <x:v>OK</x:v>
      </x:c>
      <x:c r="J21" s="31" t="str">
        <x:f>IF(OR(C21="",D21="",E21=""),"MISSING",IF(OR(C21&lt;0,C21&gt;60,D21&lt;50,D21&gt;400,E21&lt;0,E21&gt;200),"REVIEW","OK"))</x:f>
        <x:v>OK</x:v>
      </x:c>
    </x:row>
    <x:row r="22">
      <x:c r="A22" s="31" t="n">
        <x:v>21</x:v>
      </x:c>
      <x:c r="B22" s="32" t="n">
        <x:v>46310.335648148146</x:v>
      </x:c>
      <x:c r="C22" s="33" t="n">
        <x:v>24.506</x:v>
      </x:c>
      <x:c r="D22" s="33" t="n">
        <x:v>212.825</x:v>
      </x:c>
      <x:c r="E22" s="33" t="n">
        <x:v>84.504</x:v>
      </x:c>
      <x:c r="F22" s="31" t="str"/>
      <x:c r="G22" s="31" t="str">
        <x:f>IF(C22="","NO DATA",IF(C22&gt;=30,"ALERT","NORMAL"))</x:f>
        <x:v>NORMAL</x:v>
      </x:c>
      <x:c r="H22" s="31" t="str">
        <x:f>IF(C22="","MISSING",IF(C22&gt;=30,"HIGH TEMP","OK"))</x:f>
        <x:v>OK</x:v>
      </x:c>
      <x:c r="I22" s="31" t="str">
        <x:f>IF(E22="","NO DATA",IF(E22&lt;20,"LOW FLOW","OK"))</x:f>
        <x:v>OK</x:v>
      </x:c>
      <x:c r="J22" s="31" t="str">
        <x:f>IF(OR(C22="",D22="",E22=""),"MISSING",IF(OR(C22&lt;0,C22&gt;60,D22&lt;50,D22&gt;400,E22&lt;0,E22&gt;200),"REVIEW","OK"))</x:f>
        <x:v>OK</x:v>
      </x:c>
    </x:row>
    <x:row r="23">
      <x:c r="A23" s="31" t="n">
        <x:v>22</x:v>
      </x:c>
      <x:c r="B23" s="32" t="n">
        <x:v>46310.33576388889</x:v>
      </x:c>
      <x:c r="C23" s="33" t="n">
        <x:v>24.428</x:v>
      </x:c>
      <x:c r="D23" s="33" t="n">
        <x:v>213.536</x:v>
      </x:c>
      <x:c r="E23" s="33" t="n">
        <x:v>85.111</x:v>
      </x:c>
      <x:c r="F23" s="31" t="str"/>
      <x:c r="G23" s="31" t="str">
        <x:f>IF(C23="","NO DATA",IF(C23&gt;=30,"ALERT","NORMAL"))</x:f>
        <x:v>NORMAL</x:v>
      </x:c>
      <x:c r="H23" s="31" t="str">
        <x:f>IF(C23="","MISSING",IF(C23&gt;=30,"HIGH TEMP","OK"))</x:f>
        <x:v>OK</x:v>
      </x:c>
      <x:c r="I23" s="31" t="str">
        <x:f>IF(E23="","NO DATA",IF(E23&lt;20,"LOW FLOW","OK"))</x:f>
        <x:v>OK</x:v>
      </x:c>
      <x:c r="J23" s="31" t="str">
        <x:f>IF(OR(C23="",D23="",E23=""),"MISSING",IF(OR(C23&lt;0,C23&gt;60,D23&lt;50,D23&gt;400,E23&lt;0,E23&gt;200),"REVIEW","OK"))</x:f>
        <x:v>OK</x:v>
      </x:c>
    </x:row>
    <x:row r="24">
      <x:c r="A24" s="31" t="n">
        <x:v>23</x:v>
      </x:c>
      <x:c r="B24" s="32" t="n">
        <x:v>46310.33587962963</x:v>
      </x:c>
      <x:c r="C24" s="33" t="n">
        <x:v>24.304</x:v>
      </x:c>
      <x:c r="D24" s="33" t="n">
        <x:v>211.203</x:v>
      </x:c>
      <x:c r="E24" s="33" t="n">
        <x:v>84.082</x:v>
      </x:c>
      <x:c r="F24" s="31" t="str"/>
      <x:c r="G24" s="31" t="str">
        <x:f>IF(C24="","NO DATA",IF(C24&gt;=30,"ALERT","NORMAL"))</x:f>
        <x:v>NORMAL</x:v>
      </x:c>
      <x:c r="H24" s="31" t="str">
        <x:f>IF(C24="","MISSING",IF(C24&gt;=30,"HIGH TEMP","OK"))</x:f>
        <x:v>OK</x:v>
      </x:c>
      <x:c r="I24" s="31" t="str">
        <x:f>IF(E24="","NO DATA",IF(E24&lt;20,"LOW FLOW","OK"))</x:f>
        <x:v>OK</x:v>
      </x:c>
      <x:c r="J24" s="31" t="str">
        <x:f>IF(OR(C24="",D24="",E24=""),"MISSING",IF(OR(C24&lt;0,C24&gt;60,D24&lt;50,D24&gt;400,E24&lt;0,E24&gt;200),"REVIEW","OK"))</x:f>
        <x:v>OK</x:v>
      </x:c>
    </x:row>
    <x:row r="25">
      <x:c r="A25" s="31" t="n">
        <x:v>24</x:v>
      </x:c>
      <x:c r="B25" s="32" t="n">
        <x:v>46310.33599537037</x:v>
      </x:c>
      <x:c r="C25" s="33" t="n">
        <x:v>24.328</x:v>
      </x:c>
      <x:c r="D25" s="33" t="n">
        <x:v>211.836</x:v>
      </x:c>
      <x:c r="E25" s="33" t="n">
        <x:v>85.658</x:v>
      </x:c>
      <x:c r="F25" s="31" t="str"/>
      <x:c r="G25" s="31" t="str">
        <x:f>IF(C25="","NO DATA",IF(C25&gt;=30,"ALERT","NORMAL"))</x:f>
        <x:v>NORMAL</x:v>
      </x:c>
      <x:c r="H25" s="31" t="str">
        <x:f>IF(C25="","MISSING",IF(C25&gt;=30,"HIGH TEMP","OK"))</x:f>
        <x:v>OK</x:v>
      </x:c>
      <x:c r="I25" s="31" t="str">
        <x:f>IF(E25="","NO DATA",IF(E25&lt;20,"LOW FLOW","OK"))</x:f>
        <x:v>OK</x:v>
      </x:c>
      <x:c r="J25" s="31" t="str">
        <x:f>IF(OR(C25="",D25="",E25=""),"MISSING",IF(OR(C25&lt;0,C25&gt;60,D25&lt;50,D25&gt;400,E25&lt;0,E25&gt;200),"REVIEW","OK"))</x:f>
        <x:v>OK</x:v>
      </x:c>
    </x:row>
    <x:row r="26">
      <x:c r="A26" s="31" t="n">
        <x:v>25</x:v>
      </x:c>
      <x:c r="B26" s="32" t="n">
        <x:v>46310.33611111111</x:v>
      </x:c>
      <x:c r="C26" s="33" t="n">
        <x:v>24.523</x:v>
      </x:c>
      <x:c r="D26" s="33" t="n">
        <x:v>212.241</x:v>
      </x:c>
      <x:c r="E26" s="33" t="n">
        <x:v>85.034</x:v>
      </x:c>
      <x:c r="F26" s="31" t="str"/>
      <x:c r="G26" s="31" t="str">
        <x:f>IF(C26="","NO DATA",IF(C26&gt;=30,"ALERT","NORMAL"))</x:f>
        <x:v>NORMAL</x:v>
      </x:c>
      <x:c r="H26" s="31" t="str">
        <x:f>IF(C26="","MISSING",IF(C26&gt;=30,"HIGH TEMP","OK"))</x:f>
        <x:v>OK</x:v>
      </x:c>
      <x:c r="I26" s="31" t="str">
        <x:f>IF(E26="","NO DATA",IF(E26&lt;20,"LOW FLOW","OK"))</x:f>
        <x:v>OK</x:v>
      </x:c>
      <x:c r="J26" s="31" t="str">
        <x:f>IF(OR(C26="",D26="",E26=""),"MISSING",IF(OR(C26&lt;0,C26&gt;60,D26&lt;50,D26&gt;400,E26&lt;0,E26&gt;200),"REVIEW","OK"))</x:f>
        <x:v>OK</x:v>
      </x:c>
    </x:row>
    <x:row r="27">
      <x:c r="A27" s="31" t="n">
        <x:v>26</x:v>
      </x:c>
      <x:c r="B27" s="32" t="n">
        <x:v>46310.336226851854</x:v>
      </x:c>
      <x:c r="C27" s="33" t="n">
        <x:v>24.389</x:v>
      </x:c>
      <x:c r="D27" s="33" t="n">
        <x:v>214.131</x:v>
      </x:c>
      <x:c r="E27" s="33" t="n">
        <x:v>84.623</x:v>
      </x:c>
      <x:c r="F27" s="31" t="str"/>
      <x:c r="G27" s="31" t="str">
        <x:f>IF(C27="","NO DATA",IF(C27&gt;=30,"ALERT","NORMAL"))</x:f>
        <x:v>NORMAL</x:v>
      </x:c>
      <x:c r="H27" s="31" t="str">
        <x:f>IF(C27="","MISSING",IF(C27&gt;=30,"HIGH TEMP","OK"))</x:f>
        <x:v>OK</x:v>
      </x:c>
      <x:c r="I27" s="31" t="str">
        <x:f>IF(E27="","NO DATA",IF(E27&lt;20,"LOW FLOW","OK"))</x:f>
        <x:v>OK</x:v>
      </x:c>
      <x:c r="J27" s="31" t="str">
        <x:f>IF(OR(C27="",D27="",E27=""),"MISSING",IF(OR(C27&lt;0,C27&gt;60,D27&lt;50,D27&gt;400,E27&lt;0,E27&gt;200),"REVIEW","OK"))</x:f>
        <x:v>OK</x:v>
      </x:c>
    </x:row>
    <x:row r="28">
      <x:c r="A28" s="31" t="n">
        <x:v>27</x:v>
      </x:c>
      <x:c r="B28" s="32" t="n">
        <x:v>46310.33634259259</x:v>
      </x:c>
      <x:c r="C28" s="33" t="n">
        <x:v>24.361</x:v>
      </x:c>
      <x:c r="D28" s="33" t="n">
        <x:v>212.215</x:v>
      </x:c>
      <x:c r="E28" s="33" t="n">
        <x:v>84.923</x:v>
      </x:c>
      <x:c r="F28" s="31" t="str"/>
      <x:c r="G28" s="31" t="str">
        <x:f>IF(C28="","NO DATA",IF(C28&gt;=30,"ALERT","NORMAL"))</x:f>
        <x:v>NORMAL</x:v>
      </x:c>
      <x:c r="H28" s="31" t="str">
        <x:f>IF(C28="","MISSING",IF(C28&gt;=30,"HIGH TEMP","OK"))</x:f>
        <x:v>OK</x:v>
      </x:c>
      <x:c r="I28" s="31" t="str">
        <x:f>IF(E28="","NO DATA",IF(E28&lt;20,"LOW FLOW","OK"))</x:f>
        <x:v>OK</x:v>
      </x:c>
      <x:c r="J28" s="31" t="str">
        <x:f>IF(OR(C28="",D28="",E28=""),"MISSING",IF(OR(C28&lt;0,C28&gt;60,D28&lt;50,D28&gt;400,E28&lt;0,E28&gt;200),"REVIEW","OK"))</x:f>
        <x:v>OK</x:v>
      </x:c>
    </x:row>
    <x:row r="29">
      <x:c r="A29" s="31" t="n">
        <x:v>28</x:v>
      </x:c>
      <x:c r="B29" s="32" t="n">
        <x:v>46310.33645833333</x:v>
      </x:c>
      <x:c r="C29" s="33" t="n">
        <x:v>24.37</x:v>
      </x:c>
      <x:c r="D29" s="33" t="n">
        <x:v>213.314</x:v>
      </x:c>
      <x:c r="E29" s="33" t="n">
        <x:v>85.779</x:v>
      </x:c>
      <x:c r="F29" s="31" t="str"/>
      <x:c r="G29" s="31" t="str">
        <x:f>IF(C29="","NO DATA",IF(C29&gt;=30,"ALERT","NORMAL"))</x:f>
        <x:v>NORMAL</x:v>
      </x:c>
      <x:c r="H29" s="31" t="str">
        <x:f>IF(C29="","MISSING",IF(C29&gt;=30,"HIGH TEMP","OK"))</x:f>
        <x:v>OK</x:v>
      </x:c>
      <x:c r="I29" s="31" t="str">
        <x:f>IF(E29="","NO DATA",IF(E29&lt;20,"LOW FLOW","OK"))</x:f>
        <x:v>OK</x:v>
      </x:c>
      <x:c r="J29" s="31" t="str">
        <x:f>IF(OR(C29="",D29="",E29=""),"MISSING",IF(OR(C29&lt;0,C29&gt;60,D29&lt;50,D29&gt;400,E29&lt;0,E29&gt;200),"REVIEW","OK"))</x:f>
        <x:v>OK</x:v>
      </x:c>
    </x:row>
    <x:row r="30">
      <x:c r="A30" s="31" t="n">
        <x:v>29</x:v>
      </x:c>
      <x:c r="B30" s="32" t="n">
        <x:v>46310.33657407408</x:v>
      </x:c>
      <x:c r="C30" s="33" t="n">
        <x:v>24.42</x:v>
      </x:c>
      <x:c r="D30" s="33" t="n">
        <x:v>212.299</x:v>
      </x:c>
      <x:c r="E30" s="33" t="n">
        <x:v>86.062</x:v>
      </x:c>
      <x:c r="F30" s="31" t="str"/>
      <x:c r="G30" s="31" t="str">
        <x:f>IF(C30="","NO DATA",IF(C30&gt;=30,"ALERT","NORMAL"))</x:f>
        <x:v>NORMAL</x:v>
      </x:c>
      <x:c r="H30" s="31" t="str">
        <x:f>IF(C30="","MISSING",IF(C30&gt;=30,"HIGH TEMP","OK"))</x:f>
        <x:v>OK</x:v>
      </x:c>
      <x:c r="I30" s="31" t="str">
        <x:f>IF(E30="","NO DATA",IF(E30&lt;20,"LOW FLOW","OK"))</x:f>
        <x:v>OK</x:v>
      </x:c>
      <x:c r="J30" s="31" t="str">
        <x:f>IF(OR(C30="",D30="",E30=""),"MISSING",IF(OR(C30&lt;0,C30&gt;60,D30&lt;50,D30&gt;400,E30&lt;0,E30&gt;200),"REVIEW","OK"))</x:f>
        <x:v>OK</x:v>
      </x:c>
    </x:row>
    <x:row r="31">
      <x:c r="A31" s="31" t="n">
        <x:v>30</x:v>
      </x:c>
      <x:c r="B31" s="32" t="n">
        <x:v>46310.336689814816</x:v>
      </x:c>
      <x:c r="C31" s="33" t="n">
        <x:v>24.461</x:v>
      </x:c>
      <x:c r="D31" s="33" t="n">
        <x:v>211.992</x:v>
      </x:c>
      <x:c r="E31" s="33" t="n">
        <x:v>83.818</x:v>
      </x:c>
      <x:c r="F31" s="31" t="str"/>
      <x:c r="G31" s="31" t="str">
        <x:f>IF(C31="","NO DATA",IF(C31&gt;=30,"ALERT","NORMAL"))</x:f>
        <x:v>NORMAL</x:v>
      </x:c>
      <x:c r="H31" s="31" t="str">
        <x:f>IF(C31="","MISSING",IF(C31&gt;=30,"HIGH TEMP","OK"))</x:f>
        <x:v>OK</x:v>
      </x:c>
      <x:c r="I31" s="31" t="str">
        <x:f>IF(E31="","NO DATA",IF(E31&lt;20,"LOW FLOW","OK"))</x:f>
        <x:v>OK</x:v>
      </x:c>
      <x:c r="J31" s="31" t="str">
        <x:f>IF(OR(C31="",D31="",E31=""),"MISSING",IF(OR(C31&lt;0,C31&gt;60,D31&lt;50,D31&gt;400,E31&lt;0,E31&gt;200),"REVIEW","OK"))</x:f>
        <x:v>OK</x:v>
      </x:c>
    </x:row>
    <x:row r="32">
      <x:c r="A32" s="31" t="n">
        <x:v>31</x:v>
      </x:c>
      <x:c r="B32" s="32" t="n">
        <x:v>46310.336805555555</x:v>
      </x:c>
      <x:c r="C32" s="33" t="n">
        <x:v>24.349</x:v>
      </x:c>
      <x:c r="D32" s="33" t="n">
        <x:v>213.677</x:v>
      </x:c>
      <x:c r="E32" s="33" t="n">
        <x:v>85.637</x:v>
      </x:c>
      <x:c r="F32" s="31" t="str"/>
      <x:c r="G32" s="31" t="str">
        <x:f>IF(C32="","NO DATA",IF(C32&gt;=30,"ALERT","NORMAL"))</x:f>
        <x:v>NORMAL</x:v>
      </x:c>
      <x:c r="H32" s="31" t="str">
        <x:f>IF(C32="","MISSING",IF(C32&gt;=30,"HIGH TEMP","OK"))</x:f>
        <x:v>OK</x:v>
      </x:c>
      <x:c r="I32" s="31" t="str">
        <x:f>IF(E32="","NO DATA",IF(E32&lt;20,"LOW FLOW","OK"))</x:f>
        <x:v>OK</x:v>
      </x:c>
      <x:c r="J32" s="31" t="str">
        <x:f>IF(OR(C32="",D32="",E32=""),"MISSING",IF(OR(C32&lt;0,C32&gt;60,D32&lt;50,D32&gt;400,E32&lt;0,E32&gt;200),"REVIEW","OK"))</x:f>
        <x:v>OK</x:v>
      </x:c>
    </x:row>
    <x:row r="33">
      <x:c r="A33" s="31" t="n">
        <x:v>32</x:v>
      </x:c>
      <x:c r="B33" s="32" t="n">
        <x:v>46310.33692129629</x:v>
      </x:c>
      <x:c r="C33" s="33" t="n">
        <x:v>24.45</x:v>
      </x:c>
      <x:c r="D33" s="33" t="n">
        <x:v>212.056</x:v>
      </x:c>
      <x:c r="E33" s="33" t="n">
        <x:v>84.677</x:v>
      </x:c>
      <x:c r="F33" s="31" t="str"/>
      <x:c r="G33" s="31" t="str">
        <x:f>IF(C33="","NO DATA",IF(C33&gt;=30,"ALERT","NORMAL"))</x:f>
        <x:v>NORMAL</x:v>
      </x:c>
      <x:c r="H33" s="31" t="str">
        <x:f>IF(C33="","MISSING",IF(C33&gt;=30,"HIGH TEMP","OK"))</x:f>
        <x:v>OK</x:v>
      </x:c>
      <x:c r="I33" s="31" t="str">
        <x:f>IF(E33="","NO DATA",IF(E33&lt;20,"LOW FLOW","OK"))</x:f>
        <x:v>OK</x:v>
      </x:c>
      <x:c r="J33" s="31" t="str">
        <x:f>IF(OR(C33="",D33="",E33=""),"MISSING",IF(OR(C33&lt;0,C33&gt;60,D33&lt;50,D33&gt;400,E33&lt;0,E33&gt;200),"REVIEW","OK"))</x:f>
        <x:v>OK</x:v>
      </x:c>
    </x:row>
    <x:row r="34">
      <x:c r="A34" s="31" t="n">
        <x:v>33</x:v>
      </x:c>
      <x:c r="B34" s="32" t="n">
        <x:v>46310.33703703704</x:v>
      </x:c>
      <x:c r="C34" s="33" t="n">
        <x:v>24.628</x:v>
      </x:c>
      <x:c r="D34" s="33" t="n">
        <x:v>213.521</x:v>
      </x:c>
      <x:c r="E34" s="33" t="n">
        <x:v>86.11</x:v>
      </x:c>
      <x:c r="F34" s="31" t="str"/>
      <x:c r="G34" s="31" t="str">
        <x:f>IF(C34="","NO DATA",IF(C34&gt;=30,"ALERT","NORMAL"))</x:f>
        <x:v>NORMAL</x:v>
      </x:c>
      <x:c r="H34" s="31" t="str">
        <x:f>IF(C34="","MISSING",IF(C34&gt;=30,"HIGH TEMP","OK"))</x:f>
        <x:v>OK</x:v>
      </x:c>
      <x:c r="I34" s="31" t="str">
        <x:f>IF(E34="","NO DATA",IF(E34&lt;20,"LOW FLOW","OK"))</x:f>
        <x:v>OK</x:v>
      </x:c>
      <x:c r="J34" s="31" t="str">
        <x:f>IF(OR(C34="",D34="",E34=""),"MISSING",IF(OR(C34&lt;0,C34&gt;60,D34&lt;50,D34&gt;400,E34&lt;0,E34&gt;200),"REVIEW","OK"))</x:f>
        <x:v>OK</x:v>
      </x:c>
    </x:row>
    <x:row r="35">
      <x:c r="A35" s="31" t="n">
        <x:v>34</x:v>
      </x:c>
      <x:c r="B35" s="32" t="n">
        <x:v>46310.33715277778</x:v>
      </x:c>
      <x:c r="C35" s="33" t="n">
        <x:v>24.593</x:v>
      </x:c>
      <x:c r="D35" s="33" t="n">
        <x:v>212.033</x:v>
      </x:c>
      <x:c r="E35" s="33" t="n">
        <x:v>85.522</x:v>
      </x:c>
      <x:c r="F35" s="31" t="str"/>
      <x:c r="G35" s="31" t="str">
        <x:f>IF(C35="","NO DATA",IF(C35&gt;=30,"ALERT","NORMAL"))</x:f>
        <x:v>NORMAL</x:v>
      </x:c>
      <x:c r="H35" s="31" t="str">
        <x:f>IF(C35="","MISSING",IF(C35&gt;=30,"HIGH TEMP","OK"))</x:f>
        <x:v>OK</x:v>
      </x:c>
      <x:c r="I35" s="31" t="str">
        <x:f>IF(E35="","NO DATA",IF(E35&lt;20,"LOW FLOW","OK"))</x:f>
        <x:v>OK</x:v>
      </x:c>
      <x:c r="J35" s="31" t="str">
        <x:f>IF(OR(C35="",D35="",E35=""),"MISSING",IF(OR(C35&lt;0,C35&gt;60,D35&lt;50,D35&gt;400,E35&lt;0,E35&gt;200),"REVIEW","OK"))</x:f>
        <x:v>OK</x:v>
      </x:c>
    </x:row>
    <x:row r="36">
      <x:c r="A36" s="31" t="n">
        <x:v>35</x:v>
      </x:c>
      <x:c r="B36" s="32" t="n">
        <x:v>46310.33726851852</x:v>
      </x:c>
      <x:c r="C36" s="33" t="n">
        <x:v>24.543</x:v>
      </x:c>
      <x:c r="D36" s="33" t="n">
        <x:v>213.67</x:v>
      </x:c>
      <x:c r="E36" s="33" t="n">
        <x:v>84.439</x:v>
      </x:c>
      <x:c r="F36" s="31" t="str"/>
      <x:c r="G36" s="31" t="str">
        <x:f>IF(C36="","NO DATA",IF(C36&gt;=30,"ALERT","NORMAL"))</x:f>
        <x:v>NORMAL</x:v>
      </x:c>
      <x:c r="H36" s="31" t="str">
        <x:f>IF(C36="","MISSING",IF(C36&gt;=30,"HIGH TEMP","OK"))</x:f>
        <x:v>OK</x:v>
      </x:c>
      <x:c r="I36" s="31" t="str">
        <x:f>IF(E36="","NO DATA",IF(E36&lt;20,"LOW FLOW","OK"))</x:f>
        <x:v>OK</x:v>
      </x:c>
      <x:c r="J36" s="31" t="str">
        <x:f>IF(OR(C36="",D36="",E36=""),"MISSING",IF(OR(C36&lt;0,C36&gt;60,D36&lt;50,D36&gt;400,E36&lt;0,E36&gt;200),"REVIEW","OK"))</x:f>
        <x:v>OK</x:v>
      </x:c>
    </x:row>
    <x:row r="37">
      <x:c r="A37" s="31" t="n">
        <x:v>36</x:v>
      </x:c>
      <x:c r="B37" s="32" t="n">
        <x:v>46310.33738425926</x:v>
      </x:c>
      <x:c r="C37" s="33" t="n">
        <x:v>24.535</x:v>
      </x:c>
      <x:c r="D37" s="33" t="n">
        <x:v>212.451</x:v>
      </x:c>
      <x:c r="E37" s="33" t="n">
        <x:v>84.843</x:v>
      </x:c>
      <x:c r="F37" s="31" t="str"/>
      <x:c r="G37" s="31" t="str">
        <x:f>IF(C37="","NO DATA",IF(C37&gt;=30,"ALERT","NORMAL"))</x:f>
        <x:v>NORMAL</x:v>
      </x:c>
      <x:c r="H37" s="31" t="str">
        <x:f>IF(C37="","MISSING",IF(C37&gt;=30,"HIGH TEMP","OK"))</x:f>
        <x:v>OK</x:v>
      </x:c>
      <x:c r="I37" s="31" t="str">
        <x:f>IF(E37="","NO DATA",IF(E37&lt;20,"LOW FLOW","OK"))</x:f>
        <x:v>OK</x:v>
      </x:c>
      <x:c r="J37" s="31" t="str">
        <x:f>IF(OR(C37="",D37="",E37=""),"MISSING",IF(OR(C37&lt;0,C37&gt;60,D37&lt;50,D37&gt;400,E37&lt;0,E37&gt;200),"REVIEW","OK"))</x:f>
        <x:v>OK</x:v>
      </x:c>
    </x:row>
    <x:row r="38">
      <x:c r="A38" s="31" t="n">
        <x:v>37</x:v>
      </x:c>
      <x:c r="B38" s="32" t="n">
        <x:v>46310.3375</x:v>
      </x:c>
      <x:c r="C38" s="33" t="n">
        <x:v>24.482</x:v>
      </x:c>
      <x:c r="D38" s="33" t="n">
        <x:v>215.031</x:v>
      </x:c>
      <x:c r="E38" s="33" t="n">
        <x:v>85.896</x:v>
      </x:c>
      <x:c r="F38" s="31" t="str"/>
      <x:c r="G38" s="31" t="str">
        <x:f>IF(C38="","NO DATA",IF(C38&gt;=30,"ALERT","NORMAL"))</x:f>
        <x:v>NORMAL</x:v>
      </x:c>
      <x:c r="H38" s="31" t="str">
        <x:f>IF(C38="","MISSING",IF(C38&gt;=30,"HIGH TEMP","OK"))</x:f>
        <x:v>OK</x:v>
      </x:c>
      <x:c r="I38" s="31" t="str">
        <x:f>IF(E38="","NO DATA",IF(E38&lt;20,"LOW FLOW","OK"))</x:f>
        <x:v>OK</x:v>
      </x:c>
      <x:c r="J38" s="31" t="str">
        <x:f>IF(OR(C38="",D38="",E38=""),"MISSING",IF(OR(C38&lt;0,C38&gt;60,D38&lt;50,D38&gt;400,E38&lt;0,E38&gt;200),"REVIEW","OK"))</x:f>
        <x:v>OK</x:v>
      </x:c>
    </x:row>
    <x:row r="39">
      <x:c r="A39" s="31" t="n">
        <x:v>38</x:v>
      </x:c>
      <x:c r="B39" s="32" t="n">
        <x:v>46310.33761574074</x:v>
      </x:c>
      <x:c r="C39" s="33" t="n">
        <x:v>24.427</x:v>
      </x:c>
      <x:c r="D39" s="33" t="n">
        <x:v>213.72</x:v>
      </x:c>
      <x:c r="E39" s="33" t="n">
        <x:v>84.21</x:v>
      </x:c>
      <x:c r="F39" s="31" t="str"/>
      <x:c r="G39" s="31" t="str">
        <x:f>IF(C39="","NO DATA",IF(C39&gt;=30,"ALERT","NORMAL"))</x:f>
        <x:v>NORMAL</x:v>
      </x:c>
      <x:c r="H39" s="31" t="str">
        <x:f>IF(C39="","MISSING",IF(C39&gt;=30,"HIGH TEMP","OK"))</x:f>
        <x:v>OK</x:v>
      </x:c>
      <x:c r="I39" s="31" t="str">
        <x:f>IF(E39="","NO DATA",IF(E39&lt;20,"LOW FLOW","OK"))</x:f>
        <x:v>OK</x:v>
      </x:c>
      <x:c r="J39" s="31" t="str">
        <x:f>IF(OR(C39="",D39="",E39=""),"MISSING",IF(OR(C39&lt;0,C39&gt;60,D39&lt;50,D39&gt;400,E39&lt;0,E39&gt;200),"REVIEW","OK"))</x:f>
        <x:v>OK</x:v>
      </x:c>
    </x:row>
    <x:row r="40">
      <x:c r="A40" s="31" t="n">
        <x:v>39</x:v>
      </x:c>
      <x:c r="B40" s="32" t="n">
        <x:v>46310.33773148148</x:v>
      </x:c>
      <x:c r="C40" s="33" t="n">
        <x:v>24.623</x:v>
      </x:c>
      <x:c r="D40" s="33" t="n">
        <x:v>214.876</x:v>
      </x:c>
      <x:c r="E40" s="33" t="n">
        <x:v>84.48</x:v>
      </x:c>
      <x:c r="F40" s="31" t="str"/>
      <x:c r="G40" s="31" t="str">
        <x:f>IF(C40="","NO DATA",IF(C40&gt;=30,"ALERT","NORMAL"))</x:f>
        <x:v>NORMAL</x:v>
      </x:c>
      <x:c r="H40" s="31" t="str">
        <x:f>IF(C40="","MISSING",IF(C40&gt;=30,"HIGH TEMP","OK"))</x:f>
        <x:v>OK</x:v>
      </x:c>
      <x:c r="I40" s="31" t="str">
        <x:f>IF(E40="","NO DATA",IF(E40&lt;20,"LOW FLOW","OK"))</x:f>
        <x:v>OK</x:v>
      </x:c>
      <x:c r="J40" s="31" t="str">
        <x:f>IF(OR(C40="",D40="",E40=""),"MISSING",IF(OR(C40&lt;0,C40&gt;60,D40&lt;50,D40&gt;400,E40&lt;0,E40&gt;200),"REVIEW","OK"))</x:f>
        <x:v>OK</x:v>
      </x:c>
    </x:row>
    <x:row r="41">
      <x:c r="A41" s="31" t="n">
        <x:v>40</x:v>
      </x:c>
      <x:c r="B41" s="32" t="n">
        <x:v>46310.337847222225</x:v>
      </x:c>
      <x:c r="C41" s="33" t="n">
        <x:v>24.542</x:v>
      </x:c>
      <x:c r="D41" s="33" t="n">
        <x:v>214.133</x:v>
      </x:c>
      <x:c r="E41" s="33" t="n">
        <x:v>84.106</x:v>
      </x:c>
      <x:c r="F41" s="31" t="str"/>
      <x:c r="G41" s="31" t="str">
        <x:f>IF(C41="","NO DATA",IF(C41&gt;=30,"ALERT","NORMAL"))</x:f>
        <x:v>NORMAL</x:v>
      </x:c>
      <x:c r="H41" s="31" t="str">
        <x:f>IF(C41="","MISSING",IF(C41&gt;=30,"HIGH TEMP","OK"))</x:f>
        <x:v>OK</x:v>
      </x:c>
      <x:c r="I41" s="31" t="str">
        <x:f>IF(E41="","NO DATA",IF(E41&lt;20,"LOW FLOW","OK"))</x:f>
        <x:v>OK</x:v>
      </x:c>
      <x:c r="J41" s="31" t="str">
        <x:f>IF(OR(C41="",D41="",E41=""),"MISSING",IF(OR(C41&lt;0,C41&gt;60,D41&lt;50,D41&gt;400,E41&lt;0,E41&gt;200),"REVIEW","OK"))</x:f>
        <x:v>OK</x:v>
      </x:c>
    </x:row>
    <x:row r="42">
      <x:c r="A42" s="31" t="n">
        <x:v>41</x:v>
      </x:c>
      <x:c r="B42" s="32" t="n">
        <x:v>46310.33796296296</x:v>
      </x:c>
      <x:c r="C42" s="33" t="n">
        <x:v>24.579</x:v>
      </x:c>
      <x:c r="D42" s="33" t="n">
        <x:v>213.962</x:v>
      </x:c>
      <x:c r="E42" s="33" t="n">
        <x:v>85.577</x:v>
      </x:c>
      <x:c r="F42" s="31" t="str"/>
      <x:c r="G42" s="31" t="str">
        <x:f>IF(C42="","NO DATA",IF(C42&gt;=30,"ALERT","NORMAL"))</x:f>
        <x:v>NORMAL</x:v>
      </x:c>
      <x:c r="H42" s="31" t="str">
        <x:f>IF(C42="","MISSING",IF(C42&gt;=30,"HIGH TEMP","OK"))</x:f>
        <x:v>OK</x:v>
      </x:c>
      <x:c r="I42" s="31" t="str">
        <x:f>IF(E42="","NO DATA",IF(E42&lt;20,"LOW FLOW","OK"))</x:f>
        <x:v>OK</x:v>
      </x:c>
      <x:c r="J42" s="31" t="str">
        <x:f>IF(OR(C42="",D42="",E42=""),"MISSING",IF(OR(C42&lt;0,C42&gt;60,D42&lt;50,D42&gt;400,E42&lt;0,E42&gt;200),"REVIEW","OK"))</x:f>
        <x:v>OK</x:v>
      </x:c>
    </x:row>
    <x:row r="43">
      <x:c r="A43" s="31" t="n">
        <x:v>42</x:v>
      </x:c>
      <x:c r="B43" s="32" t="n">
        <x:v>46310.3380787037</x:v>
      </x:c>
      <x:c r="C43" s="33" t="n">
        <x:v>24.508</x:v>
      </x:c>
      <x:c r="D43" s="33" t="n">
        <x:v>212.379</x:v>
      </x:c>
      <x:c r="E43" s="33" t="n">
        <x:v>84.45</x:v>
      </x:c>
      <x:c r="F43" s="31" t="str"/>
      <x:c r="G43" s="31" t="str">
        <x:f>IF(C43="","NO DATA",IF(C43&gt;=30,"ALERT","NORMAL"))</x:f>
        <x:v>NORMAL</x:v>
      </x:c>
      <x:c r="H43" s="31" t="str">
        <x:f>IF(C43="","MISSING",IF(C43&gt;=30,"HIGH TEMP","OK"))</x:f>
        <x:v>OK</x:v>
      </x:c>
      <x:c r="I43" s="31" t="str">
        <x:f>IF(E43="","NO DATA",IF(E43&lt;20,"LOW FLOW","OK"))</x:f>
        <x:v>OK</x:v>
      </x:c>
      <x:c r="J43" s="31" t="str">
        <x:f>IF(OR(C43="",D43="",E43=""),"MISSING",IF(OR(C43&lt;0,C43&gt;60,D43&lt;50,D43&gt;400,E43&lt;0,E43&gt;200),"REVIEW","OK"))</x:f>
        <x:v>OK</x:v>
      </x:c>
    </x:row>
    <x:row r="44">
      <x:c r="A44" s="31" t="n">
        <x:v>43</x:v>
      </x:c>
      <x:c r="B44" s="32" t="n">
        <x:v>46310.33819444444</x:v>
      </x:c>
      <x:c r="C44" s="33" t="n">
        <x:v>24.353</x:v>
      </x:c>
      <x:c r="D44" s="33" t="n">
        <x:v>215.194</x:v>
      </x:c>
      <x:c r="E44" s="33" t="n">
        <x:v>85.739</x:v>
      </x:c>
      <x:c r="F44" s="31" t="str"/>
      <x:c r="G44" s="31" t="str">
        <x:f>IF(C44="","NO DATA",IF(C44&gt;=30,"ALERT","NORMAL"))</x:f>
        <x:v>NORMAL</x:v>
      </x:c>
      <x:c r="H44" s="31" t="str">
        <x:f>IF(C44="","MISSING",IF(C44&gt;=30,"HIGH TEMP","OK"))</x:f>
        <x:v>OK</x:v>
      </x:c>
      <x:c r="I44" s="31" t="str">
        <x:f>IF(E44="","NO DATA",IF(E44&lt;20,"LOW FLOW","OK"))</x:f>
        <x:v>OK</x:v>
      </x:c>
      <x:c r="J44" s="31" t="str">
        <x:f>IF(OR(C44="",D44="",E44=""),"MISSING",IF(OR(C44&lt;0,C44&gt;60,D44&lt;50,D44&gt;400,E44&lt;0,E44&gt;200),"REVIEW","OK"))</x:f>
        <x:v>OK</x:v>
      </x:c>
    </x:row>
    <x:row r="45">
      <x:c r="A45" s="31" t="n">
        <x:v>44</x:v>
      </x:c>
      <x:c r="B45" s="32" t="n">
        <x:v>46310.33831018519</x:v>
      </x:c>
      <x:c r="C45" s="33" t="n">
        <x:v>24.594</x:v>
      </x:c>
      <x:c r="D45" s="33" t="n">
        <x:v>213.355</x:v>
      </x:c>
      <x:c r="E45" s="33" t="n">
        <x:v>83.721</x:v>
      </x:c>
      <x:c r="F45" s="31" t="str"/>
      <x:c r="G45" s="31" t="str">
        <x:f>IF(C45="","NO DATA",IF(C45&gt;=30,"ALERT","NORMAL"))</x:f>
        <x:v>NORMAL</x:v>
      </x:c>
      <x:c r="H45" s="31" t="str">
        <x:f>IF(C45="","MISSING",IF(C45&gt;=30,"HIGH TEMP","OK"))</x:f>
        <x:v>OK</x:v>
      </x:c>
      <x:c r="I45" s="31" t="str">
        <x:f>IF(E45="","NO DATA",IF(E45&lt;20,"LOW FLOW","OK"))</x:f>
        <x:v>OK</x:v>
      </x:c>
      <x:c r="J45" s="31" t="str">
        <x:f>IF(OR(C45="",D45="",E45=""),"MISSING",IF(OR(C45&lt;0,C45&gt;60,D45&lt;50,D45&gt;400,E45&lt;0,E45&gt;200),"REVIEW","OK"))</x:f>
        <x:v>OK</x:v>
      </x:c>
    </x:row>
    <x:row r="46">
      <x:c r="A46" s="31" t="n">
        <x:v>45</x:v>
      </x:c>
      <x:c r="B46" s="32" t="n">
        <x:v>46310.338425925926</x:v>
      </x:c>
      <x:c r="C46" s="33" t="n">
        <x:v>24.604</x:v>
      </x:c>
      <x:c r="D46" s="33" t="n">
        <x:v>215.295</x:v>
      </x:c>
      <x:c r="E46" s="33" t="n">
        <x:v>83.733</x:v>
      </x:c>
      <x:c r="F46" s="31" t="str"/>
      <x:c r="G46" s="31" t="str">
        <x:f>IF(C46="","NO DATA",IF(C46&gt;=30,"ALERT","NORMAL"))</x:f>
        <x:v>NORMAL</x:v>
      </x:c>
      <x:c r="H46" s="31" t="str">
        <x:f>IF(C46="","MISSING",IF(C46&gt;=30,"HIGH TEMP","OK"))</x:f>
        <x:v>OK</x:v>
      </x:c>
      <x:c r="I46" s="31" t="str">
        <x:f>IF(E46="","NO DATA",IF(E46&lt;20,"LOW FLOW","OK"))</x:f>
        <x:v>OK</x:v>
      </x:c>
      <x:c r="J46" s="31" t="str">
        <x:f>IF(OR(C46="",D46="",E46=""),"MISSING",IF(OR(C46&lt;0,C46&gt;60,D46&lt;50,D46&gt;400,E46&lt;0,E46&gt;200),"REVIEW","OK"))</x:f>
        <x:v>OK</x:v>
      </x:c>
    </x:row>
    <x:row r="47">
      <x:c r="A47" s="31" t="n">
        <x:v>46</x:v>
      </x:c>
      <x:c r="B47" s="32" t="n">
        <x:v>46310.338541666664</x:v>
      </x:c>
      <x:c r="C47" s="33" t="n">
        <x:v>24.483</x:v>
      </x:c>
      <x:c r="D47" s="33" t="n">
        <x:v>212.679</x:v>
      </x:c>
      <x:c r="E47" s="33" t="n">
        <x:v>85.294</x:v>
      </x:c>
      <x:c r="F47" s="31" t="str"/>
      <x:c r="G47" s="31" t="str">
        <x:f>IF(C47="","NO DATA",IF(C47&gt;=30,"ALERT","NORMAL"))</x:f>
        <x:v>NORMAL</x:v>
      </x:c>
      <x:c r="H47" s="31" t="str">
        <x:f>IF(C47="","MISSING",IF(C47&gt;=30,"HIGH TEMP","OK"))</x:f>
        <x:v>OK</x:v>
      </x:c>
      <x:c r="I47" s="31" t="str">
        <x:f>IF(E47="","NO DATA",IF(E47&lt;20,"LOW FLOW","OK"))</x:f>
        <x:v>OK</x:v>
      </x:c>
      <x:c r="J47" s="31" t="str">
        <x:f>IF(OR(C47="",D47="",E47=""),"MISSING",IF(OR(C47&lt;0,C47&gt;60,D47&lt;50,D47&gt;400,E47&lt;0,E47&gt;200),"REVIEW","OK"))</x:f>
        <x:v>OK</x:v>
      </x:c>
    </x:row>
    <x:row r="48">
      <x:c r="A48" s="31" t="n">
        <x:v>47</x:v>
      </x:c>
      <x:c r="B48" s="32" t="n">
        <x:v>46310.33865740741</x:v>
      </x:c>
      <x:c r="C48" s="33" t="n">
        <x:v>24.562</x:v>
      </x:c>
      <x:c r="D48" s="33" t="n">
        <x:v>212.87</x:v>
      </x:c>
      <x:c r="E48" s="33" t="n">
        <x:v>84.544</x:v>
      </x:c>
      <x:c r="F48" s="31" t="str"/>
      <x:c r="G48" s="31" t="str">
        <x:f>IF(C48="","NO DATA",IF(C48&gt;=30,"ALERT","NORMAL"))</x:f>
        <x:v>NORMAL</x:v>
      </x:c>
      <x:c r="H48" s="31" t="str">
        <x:f>IF(C48="","MISSING",IF(C48&gt;=30,"HIGH TEMP","OK"))</x:f>
        <x:v>OK</x:v>
      </x:c>
      <x:c r="I48" s="31" t="str">
        <x:f>IF(E48="","NO DATA",IF(E48&lt;20,"LOW FLOW","OK"))</x:f>
        <x:v>OK</x:v>
      </x:c>
      <x:c r="J48" s="31" t="str">
        <x:f>IF(OR(C48="",D48="",E48=""),"MISSING",IF(OR(C48&lt;0,C48&gt;60,D48&lt;50,D48&gt;400,E48&lt;0,E48&gt;200),"REVIEW","OK"))</x:f>
        <x:v>OK</x:v>
      </x:c>
    </x:row>
    <x:row r="49">
      <x:c r="A49" s="31" t="n">
        <x:v>48</x:v>
      </x:c>
      <x:c r="B49" s="32" t="n">
        <x:v>46310.33877314815</x:v>
      </x:c>
      <x:c r="C49" s="33" t="n">
        <x:v>24.491</x:v>
      </x:c>
      <x:c r="D49" s="33" t="n">
        <x:v>213.289</x:v>
      </x:c>
      <x:c r="E49" s="33" t="n">
        <x:v>85.427</x:v>
      </x:c>
      <x:c r="F49" s="31" t="str"/>
      <x:c r="G49" s="31" t="str">
        <x:f>IF(C49="","NO DATA",IF(C49&gt;=30,"ALERT","NORMAL"))</x:f>
        <x:v>NORMAL</x:v>
      </x:c>
      <x:c r="H49" s="31" t="str">
        <x:f>IF(C49="","MISSING",IF(C49&gt;=30,"HIGH TEMP","OK"))</x:f>
        <x:v>OK</x:v>
      </x:c>
      <x:c r="I49" s="31" t="str">
        <x:f>IF(E49="","NO DATA",IF(E49&lt;20,"LOW FLOW","OK"))</x:f>
        <x:v>OK</x:v>
      </x:c>
      <x:c r="J49" s="31" t="str">
        <x:f>IF(OR(C49="",D49="",E49=""),"MISSING",IF(OR(C49&lt;0,C49&gt;60,D49&lt;50,D49&gt;400,E49&lt;0,E49&gt;200),"REVIEW","OK"))</x:f>
        <x:v>OK</x:v>
      </x:c>
    </x:row>
    <x:row r="50">
      <x:c r="A50" s="31" t="n">
        <x:v>49</x:v>
      </x:c>
      <x:c r="B50" s="32" t="n">
        <x:v>46310.33888888889</x:v>
      </x:c>
      <x:c r="C50" s="33" t="n">
        <x:v>24.447</x:v>
      </x:c>
      <x:c r="D50" s="33" t="n">
        <x:v>213.134</x:v>
      </x:c>
      <x:c r="E50" s="33" t="n">
        <x:v>84.551</x:v>
      </x:c>
      <x:c r="F50" s="31" t="str"/>
      <x:c r="G50" s="31" t="str">
        <x:f>IF(C50="","NO DATA",IF(C50&gt;=30,"ALERT","NORMAL"))</x:f>
        <x:v>NORMAL</x:v>
      </x:c>
      <x:c r="H50" s="31" t="str">
        <x:f>IF(C50="","MISSING",IF(C50&gt;=30,"HIGH TEMP","OK"))</x:f>
        <x:v>OK</x:v>
      </x:c>
      <x:c r="I50" s="31" t="str">
        <x:f>IF(E50="","NO DATA",IF(E50&lt;20,"LOW FLOW","OK"))</x:f>
        <x:v>OK</x:v>
      </x:c>
      <x:c r="J50" s="31" t="str">
        <x:f>IF(OR(C50="",D50="",E50=""),"MISSING",IF(OR(C50&lt;0,C50&gt;60,D50&lt;50,D50&gt;400,E50&lt;0,E50&gt;200),"REVIEW","OK"))</x:f>
        <x:v>OK</x:v>
      </x:c>
    </x:row>
    <x:row r="51">
      <x:c r="A51" s="31" t="n">
        <x:v>50</x:v>
      </x:c>
      <x:c r="B51" s="32" t="n">
        <x:v>46310.339004629626</x:v>
      </x:c>
      <x:c r="C51" s="33" t="n">
        <x:v>24.532</x:v>
      </x:c>
      <x:c r="D51" s="33" t="n">
        <x:v>213.103</x:v>
      </x:c>
      <x:c r="E51" s="33" t="n">
        <x:v>83.925</x:v>
      </x:c>
      <x:c r="F51" s="31" t="str"/>
      <x:c r="G51" s="31" t="str">
        <x:f>IF(C51="","NO DATA",IF(C51&gt;=30,"ALERT","NORMAL"))</x:f>
        <x:v>NORMAL</x:v>
      </x:c>
      <x:c r="H51" s="31" t="str">
        <x:f>IF(C51="","MISSING",IF(C51&gt;=30,"HIGH TEMP","OK"))</x:f>
        <x:v>OK</x:v>
      </x:c>
      <x:c r="I51" s="31" t="str">
        <x:f>IF(E51="","NO DATA",IF(E51&lt;20,"LOW FLOW","OK"))</x:f>
        <x:v>OK</x:v>
      </x:c>
      <x:c r="J51" s="31" t="str">
        <x:f>IF(OR(C51="",D51="",E51=""),"MISSING",IF(OR(C51&lt;0,C51&gt;60,D51&lt;50,D51&gt;400,E51&lt;0,E51&gt;200),"REVIEW","OK"))</x:f>
        <x:v>OK</x:v>
      </x:c>
    </x:row>
    <x:row r="52">
      <x:c r="A52" s="31" t="n">
        <x:v>51</x:v>
      </x:c>
      <x:c r="B52" s="32" t="n">
        <x:v>46310.33912037037</x:v>
      </x:c>
      <x:c r="C52" s="33" t="n">
        <x:v>24.603</x:v>
      </x:c>
      <x:c r="D52" s="33" t="n">
        <x:v>214.446</x:v>
      </x:c>
      <x:c r="E52" s="33" t="n">
        <x:v>84.142</x:v>
      </x:c>
      <x:c r="F52" s="31" t="str"/>
      <x:c r="G52" s="31" t="str">
        <x:f>IF(C52="","NO DATA",IF(C52&gt;=30,"ALERT","NORMAL"))</x:f>
        <x:v>NORMAL</x:v>
      </x:c>
      <x:c r="H52" s="31" t="str">
        <x:f>IF(C52="","MISSING",IF(C52&gt;=30,"HIGH TEMP","OK"))</x:f>
        <x:v>OK</x:v>
      </x:c>
      <x:c r="I52" s="31" t="str">
        <x:f>IF(E52="","NO DATA",IF(E52&lt;20,"LOW FLOW","OK"))</x:f>
        <x:v>OK</x:v>
      </x:c>
      <x:c r="J52" s="31" t="str">
        <x:f>IF(OR(C52="",D52="",E52=""),"MISSING",IF(OR(C52&lt;0,C52&gt;60,D52&lt;50,D52&gt;400,E52&lt;0,E52&gt;200),"REVIEW","OK"))</x:f>
        <x:v>OK</x:v>
      </x:c>
    </x:row>
    <x:row r="53">
      <x:c r="A53" s="31" t="n">
        <x:v>52</x:v>
      </x:c>
      <x:c r="B53" s="32" t="n">
        <x:v>46310.33923611111</x:v>
      </x:c>
      <x:c r="C53" s="33" t="n">
        <x:v>24.451</x:v>
      </x:c>
      <x:c r="D53" s="33" t="n">
        <x:v>212.852</x:v>
      </x:c>
      <x:c r="E53" s="33" t="n">
        <x:v>83.54</x:v>
      </x:c>
      <x:c r="F53" s="31" t="str"/>
      <x:c r="G53" s="31" t="str">
        <x:f>IF(C53="","NO DATA",IF(C53&gt;=30,"ALERT","NORMAL"))</x:f>
        <x:v>NORMAL</x:v>
      </x:c>
      <x:c r="H53" s="31" t="str">
        <x:f>IF(C53="","MISSING",IF(C53&gt;=30,"HIGH TEMP","OK"))</x:f>
        <x:v>OK</x:v>
      </x:c>
      <x:c r="I53" s="31" t="str">
        <x:f>IF(E53="","NO DATA",IF(E53&lt;20,"LOW FLOW","OK"))</x:f>
        <x:v>OK</x:v>
      </x:c>
      <x:c r="J53" s="31" t="str">
        <x:f>IF(OR(C53="",D53="",E53=""),"MISSING",IF(OR(C53&lt;0,C53&gt;60,D53&lt;50,D53&gt;400,E53&lt;0,E53&gt;200),"REVIEW","OK"))</x:f>
        <x:v>OK</x:v>
      </x:c>
    </x:row>
    <x:row r="54">
      <x:c r="A54" s="31" t="n">
        <x:v>53</x:v>
      </x:c>
      <x:c r="B54" s="32" t="n">
        <x:v>46310.33935185185</x:v>
      </x:c>
      <x:c r="C54" s="33" t="n">
        <x:v>24.388</x:v>
      </x:c>
      <x:c r="D54" s="33" t="n">
        <x:v>214.242</x:v>
      </x:c>
      <x:c r="E54" s="33" t="n">
        <x:v>83.458</x:v>
      </x:c>
      <x:c r="F54" s="31" t="str"/>
      <x:c r="G54" s="31" t="str">
        <x:f>IF(C54="","NO DATA",IF(C54&gt;=30,"ALERT","NORMAL"))</x:f>
        <x:v>NORMAL</x:v>
      </x:c>
      <x:c r="H54" s="31" t="str">
        <x:f>IF(C54="","MISSING",IF(C54&gt;=30,"HIGH TEMP","OK"))</x:f>
        <x:v>OK</x:v>
      </x:c>
      <x:c r="I54" s="31" t="str">
        <x:f>IF(E54="","NO DATA",IF(E54&lt;20,"LOW FLOW","OK"))</x:f>
        <x:v>OK</x:v>
      </x:c>
      <x:c r="J54" s="31" t="str">
        <x:f>IF(OR(C54="",D54="",E54=""),"MISSING",IF(OR(C54&lt;0,C54&gt;60,D54&lt;50,D54&gt;400,E54&lt;0,E54&gt;200),"REVIEW","OK"))</x:f>
        <x:v>OK</x:v>
      </x:c>
    </x:row>
    <x:row r="55">
      <x:c r="A55" s="31" t="n">
        <x:v>54</x:v>
      </x:c>
      <x:c r="B55" s="32" t="n">
        <x:v>46310.339467592596</x:v>
      </x:c>
      <x:c r="C55" s="33" t="n">
        <x:v>24.343</x:v>
      </x:c>
      <x:c r="D55" s="33" t="n">
        <x:v>212.674</x:v>
      </x:c>
      <x:c r="E55" s="33" t="n">
        <x:v>84.321</x:v>
      </x:c>
      <x:c r="F55" s="31" t="str"/>
      <x:c r="G55" s="31" t="str">
        <x:f>IF(C55="","NO DATA",IF(C55&gt;=30,"ALERT","NORMAL"))</x:f>
        <x:v>NORMAL</x:v>
      </x:c>
      <x:c r="H55" s="31" t="str">
        <x:f>IF(C55="","MISSING",IF(C55&gt;=30,"HIGH TEMP","OK"))</x:f>
        <x:v>OK</x:v>
      </x:c>
      <x:c r="I55" s="31" t="str">
        <x:f>IF(E55="","NO DATA",IF(E55&lt;20,"LOW FLOW","OK"))</x:f>
        <x:v>OK</x:v>
      </x:c>
      <x:c r="J55" s="31" t="str">
        <x:f>IF(OR(C55="",D55="",E55=""),"MISSING",IF(OR(C55&lt;0,C55&gt;60,D55&lt;50,D55&gt;400,E55&lt;0,E55&gt;200),"REVIEW","OK"))</x:f>
        <x:v>OK</x:v>
      </x:c>
    </x:row>
    <x:row r="56">
      <x:c r="A56" s="31" t="n">
        <x:v>55</x:v>
      </x:c>
      <x:c r="B56" s="32" t="n">
        <x:v>46310.339583333334</x:v>
      </x:c>
      <x:c r="C56" s="33" t="n">
        <x:v>24.334</x:v>
      </x:c>
      <x:c r="D56" s="33" t="n">
        <x:v>215.158</x:v>
      </x:c>
      <x:c r="E56" s="33" t="n">
        <x:v>84.766</x:v>
      </x:c>
      <x:c r="F56" s="31" t="str"/>
      <x:c r="G56" s="31" t="str">
        <x:f>IF(C56="","NO DATA",IF(C56&gt;=30,"ALERT","NORMAL"))</x:f>
        <x:v>NORMAL</x:v>
      </x:c>
      <x:c r="H56" s="31" t="str">
        <x:f>IF(C56="","MISSING",IF(C56&gt;=30,"HIGH TEMP","OK"))</x:f>
        <x:v>OK</x:v>
      </x:c>
      <x:c r="I56" s="31" t="str">
        <x:f>IF(E56="","NO DATA",IF(E56&lt;20,"LOW FLOW","OK"))</x:f>
        <x:v>OK</x:v>
      </x:c>
      <x:c r="J56" s="31" t="str">
        <x:f>IF(OR(C56="",D56="",E56=""),"MISSING",IF(OR(C56&lt;0,C56&gt;60,D56&lt;50,D56&gt;400,E56&lt;0,E56&gt;200),"REVIEW","OK"))</x:f>
        <x:v>OK</x:v>
      </x:c>
    </x:row>
    <x:row r="57">
      <x:c r="A57" s="31" t="n">
        <x:v>56</x:v>
      </x:c>
      <x:c r="B57" s="32" t="n">
        <x:v>46310.33969907407</x:v>
      </x:c>
      <x:c r="C57" s="33" t="n">
        <x:v>24.276</x:v>
      </x:c>
      <x:c r="D57" s="33" t="n">
        <x:v>213.132</x:v>
      </x:c>
      <x:c r="E57" s="33" t="n">
        <x:v>84.201</x:v>
      </x:c>
      <x:c r="F57" s="31" t="str"/>
      <x:c r="G57" s="31" t="str">
        <x:f>IF(C57="","NO DATA",IF(C57&gt;=30,"ALERT","NORMAL"))</x:f>
        <x:v>NORMAL</x:v>
      </x:c>
      <x:c r="H57" s="31" t="str">
        <x:f>IF(C57="","MISSING",IF(C57&gt;=30,"HIGH TEMP","OK"))</x:f>
        <x:v>OK</x:v>
      </x:c>
      <x:c r="I57" s="31" t="str">
        <x:f>IF(E57="","NO DATA",IF(E57&lt;20,"LOW FLOW","OK"))</x:f>
        <x:v>OK</x:v>
      </x:c>
      <x:c r="J57" s="31" t="str">
        <x:f>IF(OR(C57="",D57="",E57=""),"MISSING",IF(OR(C57&lt;0,C57&gt;60,D57&lt;50,D57&gt;400,E57&lt;0,E57&gt;200),"REVIEW","OK"))</x:f>
        <x:v>OK</x:v>
      </x:c>
    </x:row>
    <x:row r="58">
      <x:c r="A58" s="31" t="n">
        <x:v>57</x:v>
      </x:c>
      <x:c r="B58" s="32" t="n">
        <x:v>46310.33981481481</x:v>
      </x:c>
      <x:c r="C58" s="33" t="n">
        <x:v>24.306</x:v>
      </x:c>
      <x:c r="D58" s="33" t="n">
        <x:v>212.786</x:v>
      </x:c>
      <x:c r="E58" s="33" t="n">
        <x:v>84.73</x:v>
      </x:c>
      <x:c r="F58" s="31" t="str"/>
      <x:c r="G58" s="31" t="str">
        <x:f>IF(C58="","NO DATA",IF(C58&gt;=30,"ALERT","NORMAL"))</x:f>
        <x:v>NORMAL</x:v>
      </x:c>
      <x:c r="H58" s="31" t="str">
        <x:f>IF(C58="","MISSING",IF(C58&gt;=30,"HIGH TEMP","OK"))</x:f>
        <x:v>OK</x:v>
      </x:c>
      <x:c r="I58" s="31" t="str">
        <x:f>IF(E58="","NO DATA",IF(E58&lt;20,"LOW FLOW","OK"))</x:f>
        <x:v>OK</x:v>
      </x:c>
      <x:c r="J58" s="31" t="str">
        <x:f>IF(OR(C58="",D58="",E58=""),"MISSING",IF(OR(C58&lt;0,C58&gt;60,D58&lt;50,D58&gt;400,E58&lt;0,E58&gt;200),"REVIEW","OK"))</x:f>
        <x:v>OK</x:v>
      </x:c>
    </x:row>
    <x:row r="59">
      <x:c r="A59" s="31" t="n">
        <x:v>58</x:v>
      </x:c>
      <x:c r="B59" s="32" t="n">
        <x:v>46310.33993055556</x:v>
      </x:c>
      <x:c r="C59" s="33" t="n">
        <x:v>24.401</x:v>
      </x:c>
      <x:c r="D59" s="33" t="n">
        <x:v>213.775</x:v>
      </x:c>
      <x:c r="E59" s="33" t="n">
        <x:v>84.253</x:v>
      </x:c>
      <x:c r="F59" s="31" t="str"/>
      <x:c r="G59" s="31" t="str">
        <x:f>IF(C59="","NO DATA",IF(C59&gt;=30,"ALERT","NORMAL"))</x:f>
        <x:v>NORMAL</x:v>
      </x:c>
      <x:c r="H59" s="31" t="str">
        <x:f>IF(C59="","MISSING",IF(C59&gt;=30,"HIGH TEMP","OK"))</x:f>
        <x:v>OK</x:v>
      </x:c>
      <x:c r="I59" s="31" t="str">
        <x:f>IF(E59="","NO DATA",IF(E59&lt;20,"LOW FLOW","OK"))</x:f>
        <x:v>OK</x:v>
      </x:c>
      <x:c r="J59" s="31" t="str">
        <x:f>IF(OR(C59="",D59="",E59=""),"MISSING",IF(OR(C59&lt;0,C59&gt;60,D59&lt;50,D59&gt;400,E59&lt;0,E59&gt;200),"REVIEW","OK"))</x:f>
        <x:v>OK</x:v>
      </x:c>
    </x:row>
    <x:row r="60">
      <x:c r="A60" s="31" t="n">
        <x:v>59</x:v>
      </x:c>
      <x:c r="B60" s="32" t="n">
        <x:v>46310.340046296296</x:v>
      </x:c>
      <x:c r="C60" s="33" t="n">
        <x:v>24.458</x:v>
      </x:c>
      <x:c r="D60" s="33" t="n">
        <x:v>212.892</x:v>
      </x:c>
      <x:c r="E60" s="33" t="n">
        <x:v>82.485</x:v>
      </x:c>
      <x:c r="F60" s="31" t="str"/>
      <x:c r="G60" s="31" t="str">
        <x:f>IF(C60="","NO DATA",IF(C60&gt;=30,"ALERT","NORMAL"))</x:f>
        <x:v>NORMAL</x:v>
      </x:c>
      <x:c r="H60" s="31" t="str">
        <x:f>IF(C60="","MISSING",IF(C60&gt;=30,"HIGH TEMP","OK"))</x:f>
        <x:v>OK</x:v>
      </x:c>
      <x:c r="I60" s="31" t="str">
        <x:f>IF(E60="","NO DATA",IF(E60&lt;20,"LOW FLOW","OK"))</x:f>
        <x:v>OK</x:v>
      </x:c>
      <x:c r="J60" s="31" t="str">
        <x:f>IF(OR(C60="",D60="",E60=""),"MISSING",IF(OR(C60&lt;0,C60&gt;60,D60&lt;50,D60&gt;400,E60&lt;0,E60&gt;200),"REVIEW","OK"))</x:f>
        <x:v>OK</x:v>
      </x:c>
    </x:row>
    <x:row r="61">
      <x:c r="A61" s="31" t="n">
        <x:v>60</x:v>
      </x:c>
      <x:c r="B61" s="32" t="n">
        <x:v>46310.340162037035</x:v>
      </x:c>
      <x:c r="C61" s="33" t="n">
        <x:v>24.332</x:v>
      </x:c>
      <x:c r="D61" s="33" t="n">
        <x:v>213.552</x:v>
      </x:c>
      <x:c r="E61" s="33" t="n">
        <x:v>83.252</x:v>
      </x:c>
      <x:c r="F61" s="31" t="str"/>
      <x:c r="G61" s="31" t="str">
        <x:f>IF(C61="","NO DATA",IF(C61&gt;=30,"ALERT","NORMAL"))</x:f>
        <x:v>NORMAL</x:v>
      </x:c>
      <x:c r="H61" s="31" t="str">
        <x:f>IF(C61="","MISSING",IF(C61&gt;=30,"HIGH TEMP","OK"))</x:f>
        <x:v>OK</x:v>
      </x:c>
      <x:c r="I61" s="31" t="str">
        <x:f>IF(E61="","NO DATA",IF(E61&lt;20,"LOW FLOW","OK"))</x:f>
        <x:v>OK</x:v>
      </x:c>
      <x:c r="J61" s="31" t="str">
        <x:f>IF(OR(C61="",D61="",E61=""),"MISSING",IF(OR(C61&lt;0,C61&gt;60,D61&lt;50,D61&gt;400,E61&lt;0,E61&gt;200),"REVIEW","OK"))</x:f>
        <x:v>OK</x:v>
      </x:c>
    </x:row>
    <x:row r="62">
      <x:c r="A62" s="31" t="n">
        <x:v>61</x:v>
      </x:c>
      <x:c r="B62" s="32" t="n">
        <x:v>46310.34027777778</x:v>
      </x:c>
      <x:c r="C62" s="33" t="n">
        <x:v>24.406</x:v>
      </x:c>
      <x:c r="D62" s="33" t="n">
        <x:v>214.257</x:v>
      </x:c>
      <x:c r="E62" s="33" t="n">
        <x:v>84.37</x:v>
      </x:c>
      <x:c r="F62" s="31" t="str"/>
      <x:c r="G62" s="31" t="str">
        <x:f>IF(C62="","NO DATA",IF(C62&gt;=30,"ALERT","NORMAL"))</x:f>
        <x:v>NORMAL</x:v>
      </x:c>
      <x:c r="H62" s="31" t="str">
        <x:f>IF(C62="","MISSING",IF(C62&gt;=30,"HIGH TEMP","OK"))</x:f>
        <x:v>OK</x:v>
      </x:c>
      <x:c r="I62" s="31" t="str">
        <x:f>IF(E62="","NO DATA",IF(E62&lt;20,"LOW FLOW","OK"))</x:f>
        <x:v>OK</x:v>
      </x:c>
      <x:c r="J62" s="31" t="str">
        <x:f>IF(OR(C62="",D62="",E62=""),"MISSING",IF(OR(C62&lt;0,C62&gt;60,D62&lt;50,D62&gt;400,E62&lt;0,E62&gt;200),"REVIEW","OK"))</x:f>
        <x:v>OK</x:v>
      </x:c>
    </x:row>
    <x:row r="63">
      <x:c r="A63" s="31" t="n">
        <x:v>62</x:v>
      </x:c>
      <x:c r="B63" s="32" t="n">
        <x:v>46310.34039351852</x:v>
      </x:c>
      <x:c r="C63" s="33" t="n">
        <x:v>24.202</x:v>
      </x:c>
      <x:c r="D63" s="33" t="n">
        <x:v>213.397</x:v>
      </x:c>
      <x:c r="E63" s="33" t="n">
        <x:v>82.696</x:v>
      </x:c>
      <x:c r="F63" s="31" t="str"/>
      <x:c r="G63" s="31" t="str">
        <x:f>IF(C63="","NO DATA",IF(C63&gt;=30,"ALERT","NORMAL"))</x:f>
        <x:v>NORMAL</x:v>
      </x:c>
      <x:c r="H63" s="31" t="str">
        <x:f>IF(C63="","MISSING",IF(C63&gt;=30,"HIGH TEMP","OK"))</x:f>
        <x:v>OK</x:v>
      </x:c>
      <x:c r="I63" s="31" t="str">
        <x:f>IF(E63="","NO DATA",IF(E63&lt;20,"LOW FLOW","OK"))</x:f>
        <x:v>OK</x:v>
      </x:c>
      <x:c r="J63" s="31" t="str">
        <x:f>IF(OR(C63="",D63="",E63=""),"MISSING",IF(OR(C63&lt;0,C63&gt;60,D63&lt;50,D63&gt;400,E63&lt;0,E63&gt;200),"REVIEW","OK"))</x:f>
        <x:v>OK</x:v>
      </x:c>
    </x:row>
    <x:row r="64">
      <x:c r="A64" s="31" t="n">
        <x:v>63</x:v>
      </x:c>
      <x:c r="B64" s="32" t="n">
        <x:v>46310.34050925926</x:v>
      </x:c>
      <x:c r="C64" s="33" t="n">
        <x:v>24.416</x:v>
      </x:c>
      <x:c r="D64" s="33" t="n">
        <x:v>212.883</x:v>
      </x:c>
      <x:c r="E64" s="33" t="n">
        <x:v>82.21</x:v>
      </x:c>
      <x:c r="F64" s="31" t="str"/>
      <x:c r="G64" s="31" t="str">
        <x:f>IF(C64="","NO DATA",IF(C64&gt;=30,"ALERT","NORMAL"))</x:f>
        <x:v>NORMAL</x:v>
      </x:c>
      <x:c r="H64" s="31" t="str">
        <x:f>IF(C64="","MISSING",IF(C64&gt;=30,"HIGH TEMP","OK"))</x:f>
        <x:v>OK</x:v>
      </x:c>
      <x:c r="I64" s="31" t="str">
        <x:f>IF(E64="","NO DATA",IF(E64&lt;20,"LOW FLOW","OK"))</x:f>
        <x:v>OK</x:v>
      </x:c>
      <x:c r="J64" s="31" t="str">
        <x:f>IF(OR(C64="",D64="",E64=""),"MISSING",IF(OR(C64&lt;0,C64&gt;60,D64&lt;50,D64&gt;400,E64&lt;0,E64&gt;200),"REVIEW","OK"))</x:f>
        <x:v>OK</x:v>
      </x:c>
    </x:row>
    <x:row r="65">
      <x:c r="A65" s="31" t="n">
        <x:v>64</x:v>
      </x:c>
      <x:c r="B65" s="32" t="n">
        <x:v>46310.340625</x:v>
      </x:c>
      <x:c r="C65" s="33" t="n">
        <x:v>24.276</x:v>
      </x:c>
      <x:c r="D65" s="33" t="n">
        <x:v>213.347</x:v>
      </x:c>
      <x:c r="E65" s="33" t="n">
        <x:v>82.292</x:v>
      </x:c>
      <x:c r="F65" s="31" t="str"/>
      <x:c r="G65" s="31" t="str">
        <x:f>IF(C65="","NO DATA",IF(C65&gt;=30,"ALERT","NORMAL"))</x:f>
        <x:v>NORMAL</x:v>
      </x:c>
      <x:c r="H65" s="31" t="str">
        <x:f>IF(C65="","MISSING",IF(C65&gt;=30,"HIGH TEMP","OK"))</x:f>
        <x:v>OK</x:v>
      </x:c>
      <x:c r="I65" s="31" t="str">
        <x:f>IF(E65="","NO DATA",IF(E65&lt;20,"LOW FLOW","OK"))</x:f>
        <x:v>OK</x:v>
      </x:c>
      <x:c r="J65" s="31" t="str">
        <x:f>IF(OR(C65="",D65="",E65=""),"MISSING",IF(OR(C65&lt;0,C65&gt;60,D65&lt;50,D65&gt;400,E65&lt;0,E65&gt;200),"REVIEW","OK"))</x:f>
        <x:v>OK</x:v>
      </x:c>
    </x:row>
    <x:row r="66">
      <x:c r="A66" s="31" t="n">
        <x:v>65</x:v>
      </x:c>
      <x:c r="B66" s="32" t="n">
        <x:v>46310.34074074074</x:v>
      </x:c>
      <x:c r="C66" s="33" t="n">
        <x:v>24.2</x:v>
      </x:c>
      <x:c r="D66" s="33" t="n">
        <x:v>214.792</x:v>
      </x:c>
      <x:c r="E66" s="33" t="n">
        <x:v>82.555</x:v>
      </x:c>
      <x:c r="F66" s="31" t="str"/>
      <x:c r="G66" s="31" t="str">
        <x:f>IF(C66="","NO DATA",IF(C66&gt;=30,"ALERT","NORMAL"))</x:f>
        <x:v>NORMAL</x:v>
      </x:c>
      <x:c r="H66" s="31" t="str">
        <x:f>IF(C66="","MISSING",IF(C66&gt;=30,"HIGH TEMP","OK"))</x:f>
        <x:v>OK</x:v>
      </x:c>
      <x:c r="I66" s="31" t="str">
        <x:f>IF(E66="","NO DATA",IF(E66&lt;20,"LOW FLOW","OK"))</x:f>
        <x:v>OK</x:v>
      </x:c>
      <x:c r="J66" s="31" t="str">
        <x:f>IF(OR(C66="",D66="",E66=""),"MISSING",IF(OR(C66&lt;0,C66&gt;60,D66&lt;50,D66&gt;400,E66&lt;0,E66&gt;200),"REVIEW","OK"))</x:f>
        <x:v>OK</x:v>
      </x:c>
    </x:row>
    <x:row r="67">
      <x:c r="A67" s="31" t="n">
        <x:v>66</x:v>
      </x:c>
      <x:c r="B67" s="32" t="n">
        <x:v>46310.34085648148</x:v>
      </x:c>
      <x:c r="C67" s="33" t="n">
        <x:v>24.366</x:v>
      </x:c>
      <x:c r="D67" s="33" t="n">
        <x:v>213.61</x:v>
      </x:c>
      <x:c r="E67" s="33" t="n">
        <x:v>81.479</x:v>
      </x:c>
      <x:c r="F67" s="31" t="str"/>
      <x:c r="G67" s="31" t="str">
        <x:f>IF(C67="","NO DATA",IF(C67&gt;=30,"ALERT","NORMAL"))</x:f>
        <x:v>NORMAL</x:v>
      </x:c>
      <x:c r="H67" s="31" t="str">
        <x:f>IF(C67="","MISSING",IF(C67&gt;=30,"HIGH TEMP","OK"))</x:f>
        <x:v>OK</x:v>
      </x:c>
      <x:c r="I67" s="31" t="str">
        <x:f>IF(E67="","NO DATA",IF(E67&lt;20,"LOW FLOW","OK"))</x:f>
        <x:v>OK</x:v>
      </x:c>
      <x:c r="J67" s="31" t="str">
        <x:f>IF(OR(C67="",D67="",E67=""),"MISSING",IF(OR(C67&lt;0,C67&gt;60,D67&lt;50,D67&gt;400,E67&lt;0,E67&gt;200),"REVIEW","OK"))</x:f>
        <x:v>OK</x:v>
      </x:c>
    </x:row>
    <x:row r="68">
      <x:c r="A68" s="31" t="n">
        <x:v>67</x:v>
      </x:c>
      <x:c r="B68" s="32" t="n">
        <x:v>46310.34097222222</x:v>
      </x:c>
      <x:c r="C68" s="33" t="n">
        <x:v>24.39</x:v>
      </x:c>
      <x:c r="D68" s="33" t="n">
        <x:v>214.401</x:v>
      </x:c>
      <x:c r="E68" s="33" t="n">
        <x:v>83.549</x:v>
      </x:c>
      <x:c r="F68" s="31" t="str"/>
      <x:c r="G68" s="31" t="str">
        <x:f>IF(C68="","NO DATA",IF(C68&gt;=30,"ALERT","NORMAL"))</x:f>
        <x:v>NORMAL</x:v>
      </x:c>
      <x:c r="H68" s="31" t="str">
        <x:f>IF(C68="","MISSING",IF(C68&gt;=30,"HIGH TEMP","OK"))</x:f>
        <x:v>OK</x:v>
      </x:c>
      <x:c r="I68" s="31" t="str">
        <x:f>IF(E68="","NO DATA",IF(E68&lt;20,"LOW FLOW","OK"))</x:f>
        <x:v>OK</x:v>
      </x:c>
      <x:c r="J68" s="31" t="str">
        <x:f>IF(OR(C68="",D68="",E68=""),"MISSING",IF(OR(C68&lt;0,C68&gt;60,D68&lt;50,D68&gt;400,E68&lt;0,E68&gt;200),"REVIEW","OK"))</x:f>
        <x:v>OK</x:v>
      </x:c>
    </x:row>
    <x:row r="69">
      <x:c r="A69" s="31" t="n">
        <x:v>68</x:v>
      </x:c>
      <x:c r="B69" s="32" t="n">
        <x:v>46310.34108796297</x:v>
      </x:c>
      <x:c r="C69" s="33" t="n">
        <x:v>24.351</x:v>
      </x:c>
      <x:c r="D69" s="33" t="n">
        <x:v>214.369</x:v>
      </x:c>
      <x:c r="E69" s="33" t="n">
        <x:v>81.487</x:v>
      </x:c>
      <x:c r="F69" s="31" t="str"/>
      <x:c r="G69" s="31" t="str">
        <x:f>IF(C69="","NO DATA",IF(C69&gt;=30,"ALERT","NORMAL"))</x:f>
        <x:v>NORMAL</x:v>
      </x:c>
      <x:c r="H69" s="31" t="str">
        <x:f>IF(C69="","MISSING",IF(C69&gt;=30,"HIGH TEMP","OK"))</x:f>
        <x:v>OK</x:v>
      </x:c>
      <x:c r="I69" s="31" t="str">
        <x:f>IF(E69="","NO DATA",IF(E69&lt;20,"LOW FLOW","OK"))</x:f>
        <x:v>OK</x:v>
      </x:c>
      <x:c r="J69" s="31" t="str">
        <x:f>IF(OR(C69="",D69="",E69=""),"MISSING",IF(OR(C69&lt;0,C69&gt;60,D69&lt;50,D69&gt;400,E69&lt;0,E69&gt;200),"REVIEW","OK"))</x:f>
        <x:v>OK</x:v>
      </x:c>
    </x:row>
    <x:row r="70">
      <x:c r="A70" s="31" t="n">
        <x:v>69</x:v>
      </x:c>
      <x:c r="B70" s="32" t="n">
        <x:v>46310.341203703705</x:v>
      </x:c>
      <x:c r="C70" s="33" t="n">
        <x:v>24.2</x:v>
      </x:c>
      <x:c r="D70" s="33" t="n">
        <x:v>212.39</x:v>
      </x:c>
      <x:c r="E70" s="33" t="n">
        <x:v>81.914</x:v>
      </x:c>
      <x:c r="F70" s="31" t="str"/>
      <x:c r="G70" s="31" t="str">
        <x:f>IF(C70="","NO DATA",IF(C70&gt;=30,"ALERT","NORMAL"))</x:f>
        <x:v>NORMAL</x:v>
      </x:c>
      <x:c r="H70" s="31" t="str">
        <x:f>IF(C70="","MISSING",IF(C70&gt;=30,"HIGH TEMP","OK"))</x:f>
        <x:v>OK</x:v>
      </x:c>
      <x:c r="I70" s="31" t="str">
        <x:f>IF(E70="","NO DATA",IF(E70&lt;20,"LOW FLOW","OK"))</x:f>
        <x:v>OK</x:v>
      </x:c>
      <x:c r="J70" s="31" t="str">
        <x:f>IF(OR(C70="",D70="",E70=""),"MISSING",IF(OR(C70&lt;0,C70&gt;60,D70&lt;50,D70&gt;400,E70&lt;0,E70&gt;200),"REVIEW","OK"))</x:f>
        <x:v>OK</x:v>
      </x:c>
    </x:row>
    <x:row r="71">
      <x:c r="A71" s="31" t="n">
        <x:v>70</x:v>
      </x:c>
      <x:c r="B71" s="32" t="n">
        <x:v>46310.341319444444</x:v>
      </x:c>
      <x:c r="C71" s="33" t="n">
        <x:v>24.054</x:v>
      </x:c>
      <x:c r="D71" s="33" t="n">
        <x:v>212.809</x:v>
      </x:c>
      <x:c r="E71" s="33" t="n">
        <x:v>83.18</x:v>
      </x:c>
      <x:c r="F71" s="31" t="str"/>
      <x:c r="G71" s="31" t="str">
        <x:f>IF(C71="","NO DATA",IF(C71&gt;=30,"ALERT","NORMAL"))</x:f>
        <x:v>NORMAL</x:v>
      </x:c>
      <x:c r="H71" s="31" t="str">
        <x:f>IF(C71="","MISSING",IF(C71&gt;=30,"HIGH TEMP","OK"))</x:f>
        <x:v>OK</x:v>
      </x:c>
      <x:c r="I71" s="31" t="str">
        <x:f>IF(E71="","NO DATA",IF(E71&lt;20,"LOW FLOW","OK"))</x:f>
        <x:v>OK</x:v>
      </x:c>
      <x:c r="J71" s="31" t="str">
        <x:f>IF(OR(C71="",D71="",E71=""),"MISSING",IF(OR(C71&lt;0,C71&gt;60,D71&lt;50,D71&gt;400,E71&lt;0,E71&gt;200),"REVIEW","OK"))</x:f>
        <x:v>OK</x:v>
      </x:c>
    </x:row>
    <x:row r="72">
      <x:c r="A72" s="31" t="n">
        <x:v>71</x:v>
      </x:c>
      <x:c r="B72" s="32" t="n">
        <x:v>46310.34143518518</x:v>
      </x:c>
      <x:c r="C72" s="33" t="n">
        <x:v>24.097</x:v>
      </x:c>
      <x:c r="D72" s="33" t="n">
        <x:v>213.944</x:v>
      </x:c>
      <x:c r="E72" s="33" t="n">
        <x:v>81.771</x:v>
      </x:c>
      <x:c r="F72" s="31" t="str"/>
      <x:c r="G72" s="31" t="str">
        <x:f>IF(C72="","NO DATA",IF(C72&gt;=30,"ALERT","NORMAL"))</x:f>
        <x:v>NORMAL</x:v>
      </x:c>
      <x:c r="H72" s="31" t="str">
        <x:f>IF(C72="","MISSING",IF(C72&gt;=30,"HIGH TEMP","OK"))</x:f>
        <x:v>OK</x:v>
      </x:c>
      <x:c r="I72" s="31" t="str">
        <x:f>IF(E72="","NO DATA",IF(E72&lt;20,"LOW FLOW","OK"))</x:f>
        <x:v>OK</x:v>
      </x:c>
      <x:c r="J72" s="31" t="str">
        <x:f>IF(OR(C72="",D72="",E72=""),"MISSING",IF(OR(C72&lt;0,C72&gt;60,D72&lt;50,D72&gt;400,E72&lt;0,E72&gt;200),"REVIEW","OK"))</x:f>
        <x:v>OK</x:v>
      </x:c>
    </x:row>
    <x:row r="73">
      <x:c r="A73" s="31" t="n">
        <x:v>72</x:v>
      </x:c>
      <x:c r="B73" s="32" t="n">
        <x:v>46310.34155092593</x:v>
      </x:c>
      <x:c r="C73" s="33" t="n">
        <x:v>24.125</x:v>
      </x:c>
      <x:c r="D73" s="33" t="n">
        <x:v>214.38</x:v>
      </x:c>
      <x:c r="E73" s="33" t="n">
        <x:v>82.932</x:v>
      </x:c>
      <x:c r="F73" s="31" t="str"/>
      <x:c r="G73" s="31" t="str">
        <x:f>IF(C73="","NO DATA",IF(C73&gt;=30,"ALERT","NORMAL"))</x:f>
        <x:v>NORMAL</x:v>
      </x:c>
      <x:c r="H73" s="31" t="str">
        <x:f>IF(C73="","MISSING",IF(C73&gt;=30,"HIGH TEMP","OK"))</x:f>
        <x:v>OK</x:v>
      </x:c>
      <x:c r="I73" s="31" t="str">
        <x:f>IF(E73="","NO DATA",IF(E73&lt;20,"LOW FLOW","OK"))</x:f>
        <x:v>OK</x:v>
      </x:c>
      <x:c r="J73" s="31" t="str">
        <x:f>IF(OR(C73="",D73="",E73=""),"MISSING",IF(OR(C73&lt;0,C73&gt;60,D73&lt;50,D73&gt;400,E73&lt;0,E73&gt;200),"REVIEW","OK"))</x:f>
        <x:v>OK</x:v>
      </x:c>
    </x:row>
    <x:row r="74">
      <x:c r="A74" s="31" t="n">
        <x:v>73</x:v>
      </x:c>
      <x:c r="B74" s="32" t="n">
        <x:v>46310.34166666667</x:v>
      </x:c>
      <x:c r="C74" s="33" t="n">
        <x:v>24.146</x:v>
      </x:c>
      <x:c r="D74" s="33" t="n">
        <x:v>213.577</x:v>
      </x:c>
      <x:c r="E74" s="33" t="n">
        <x:v>80.779</x:v>
      </x:c>
      <x:c r="F74" s="31" t="str"/>
      <x:c r="G74" s="31" t="str">
        <x:f>IF(C74="","NO DATA",IF(C74&gt;=30,"ALERT","NORMAL"))</x:f>
        <x:v>NORMAL</x:v>
      </x:c>
      <x:c r="H74" s="31" t="str">
        <x:f>IF(C74="","MISSING",IF(C74&gt;=30,"HIGH TEMP","OK"))</x:f>
        <x:v>OK</x:v>
      </x:c>
      <x:c r="I74" s="31" t="str">
        <x:f>IF(E74="","NO DATA",IF(E74&lt;20,"LOW FLOW","OK"))</x:f>
        <x:v>OK</x:v>
      </x:c>
      <x:c r="J74" s="31" t="str">
        <x:f>IF(OR(C74="",D74="",E74=""),"MISSING",IF(OR(C74&lt;0,C74&gt;60,D74&lt;50,D74&gt;400,E74&lt;0,E74&gt;200),"REVIEW","OK"))</x:f>
        <x:v>OK</x:v>
      </x:c>
    </x:row>
    <x:row r="75">
      <x:c r="A75" s="31" t="n">
        <x:v>74</x:v>
      </x:c>
      <x:c r="B75" s="32" t="n">
        <x:v>46310.341782407406</x:v>
      </x:c>
      <x:c r="C75" s="33" t="n">
        <x:v>24.049</x:v>
      </x:c>
      <x:c r="D75" s="33" t="n">
        <x:v>214.238</x:v>
      </x:c>
      <x:c r="E75" s="33" t="n">
        <x:v>81.663</x:v>
      </x:c>
      <x:c r="F75" s="31" t="str"/>
      <x:c r="G75" s="31" t="str">
        <x:f>IF(C75="","NO DATA",IF(C75&gt;=30,"ALERT","NORMAL"))</x:f>
        <x:v>NORMAL</x:v>
      </x:c>
      <x:c r="H75" s="31" t="str">
        <x:f>IF(C75="","MISSING",IF(C75&gt;=30,"HIGH TEMP","OK"))</x:f>
        <x:v>OK</x:v>
      </x:c>
      <x:c r="I75" s="31" t="str">
        <x:f>IF(E75="","NO DATA",IF(E75&lt;20,"LOW FLOW","OK"))</x:f>
        <x:v>OK</x:v>
      </x:c>
      <x:c r="J75" s="31" t="str">
        <x:f>IF(OR(C75="",D75="",E75=""),"MISSING",IF(OR(C75&lt;0,C75&gt;60,D75&lt;50,D75&gt;400,E75&lt;0,E75&gt;200),"REVIEW","OK"))</x:f>
        <x:v>OK</x:v>
      </x:c>
    </x:row>
    <x:row r="76">
      <x:c r="A76" s="31" t="n">
        <x:v>75</x:v>
      </x:c>
      <x:c r="B76" s="32" t="n">
        <x:v>46310.341898148145</x:v>
      </x:c>
      <x:c r="C76" s="33" t="n">
        <x:v>24.103</x:v>
      </x:c>
      <x:c r="D76" s="33" t="n">
        <x:v>213.484</x:v>
      </x:c>
      <x:c r="E76" s="33" t="n">
        <x:v>80.277</x:v>
      </x:c>
      <x:c r="F76" s="31" t="str"/>
      <x:c r="G76" s="31" t="str">
        <x:f>IF(C76="","NO DATA",IF(C76&gt;=30,"ALERT","NORMAL"))</x:f>
        <x:v>NORMAL</x:v>
      </x:c>
      <x:c r="H76" s="31" t="str">
        <x:f>IF(C76="","MISSING",IF(C76&gt;=30,"HIGH TEMP","OK"))</x:f>
        <x:v>OK</x:v>
      </x:c>
      <x:c r="I76" s="31" t="str">
        <x:f>IF(E76="","NO DATA",IF(E76&lt;20,"LOW FLOW","OK"))</x:f>
        <x:v>OK</x:v>
      </x:c>
      <x:c r="J76" s="31" t="str">
        <x:f>IF(OR(C76="",D76="",E76=""),"MISSING",IF(OR(C76&lt;0,C76&gt;60,D76&lt;50,D76&gt;400,E76&lt;0,E76&gt;200),"REVIEW","OK"))</x:f>
        <x:v>OK</x:v>
      </x:c>
    </x:row>
    <x:row r="77">
      <x:c r="A77" s="31" t="n">
        <x:v>76</x:v>
      </x:c>
      <x:c r="B77" s="32" t="n">
        <x:v>46310.34201388889</x:v>
      </x:c>
      <x:c r="C77" s="33" t="n">
        <x:v>24.096</x:v>
      </x:c>
      <x:c r="D77" s="33" t="n">
        <x:v>212.653</x:v>
      </x:c>
      <x:c r="E77" s="33" t="n">
        <x:v>82.054</x:v>
      </x:c>
      <x:c r="F77" s="31" t="str"/>
      <x:c r="G77" s="31" t="str">
        <x:f>IF(C77="","NO DATA",IF(C77&gt;=30,"ALERT","NORMAL"))</x:f>
        <x:v>NORMAL</x:v>
      </x:c>
      <x:c r="H77" s="31" t="str">
        <x:f>IF(C77="","MISSING",IF(C77&gt;=30,"HIGH TEMP","OK"))</x:f>
        <x:v>OK</x:v>
      </x:c>
      <x:c r="I77" s="31" t="str">
        <x:f>IF(E77="","NO DATA",IF(E77&lt;20,"LOW FLOW","OK"))</x:f>
        <x:v>OK</x:v>
      </x:c>
      <x:c r="J77" s="31" t="str">
        <x:f>IF(OR(C77="",D77="",E77=""),"MISSING",IF(OR(C77&lt;0,C77&gt;60,D77&lt;50,D77&gt;400,E77&lt;0,E77&gt;200),"REVIEW","OK"))</x:f>
        <x:v>OK</x:v>
      </x:c>
    </x:row>
    <x:row r="78">
      <x:c r="A78" s="31" t="n">
        <x:v>77</x:v>
      </x:c>
      <x:c r="B78" s="32" t="n">
        <x:v>46310.34212962963</x:v>
      </x:c>
      <x:c r="C78" s="33" t="n">
        <x:v>23.948</x:v>
      </x:c>
      <x:c r="D78" s="33" t="n">
        <x:v>213.928</x:v>
      </x:c>
      <x:c r="E78" s="33" t="n">
        <x:v>80.069</x:v>
      </x:c>
      <x:c r="F78" s="31" t="str"/>
      <x:c r="G78" s="31" t="str">
        <x:f>IF(C78="","NO DATA",IF(C78&gt;=30,"ALERT","NORMAL"))</x:f>
        <x:v>NORMAL</x:v>
      </x:c>
      <x:c r="H78" s="31" t="str">
        <x:f>IF(C78="","MISSING",IF(C78&gt;=30,"HIGH TEMP","OK"))</x:f>
        <x:v>OK</x:v>
      </x:c>
      <x:c r="I78" s="31" t="str">
        <x:f>IF(E78="","NO DATA",IF(E78&lt;20,"LOW FLOW","OK"))</x:f>
        <x:v>OK</x:v>
      </x:c>
      <x:c r="J78" s="31" t="str">
        <x:f>IF(OR(C78="",D78="",E78=""),"MISSING",IF(OR(C78&lt;0,C78&gt;60,D78&lt;50,D78&gt;400,E78&lt;0,E78&gt;200),"REVIEW","OK"))</x:f>
        <x:v>OK</x:v>
      </x:c>
    </x:row>
    <x:row r="79">
      <x:c r="A79" s="31" t="n">
        <x:v>78</x:v>
      </x:c>
      <x:c r="B79" s="32" t="n">
        <x:v>46310.34224537037</x:v>
      </x:c>
      <x:c r="C79" s="33" t="n">
        <x:v>23.937</x:v>
      </x:c>
      <x:c r="D79" s="33" t="n">
        <x:v>212.73</x:v>
      </x:c>
      <x:c r="E79" s="33" t="n">
        <x:v>81.368</x:v>
      </x:c>
      <x:c r="F79" s="31" t="str"/>
      <x:c r="G79" s="31" t="str">
        <x:f>IF(C79="","NO DATA",IF(C79&gt;=30,"ALERT","NORMAL"))</x:f>
        <x:v>NORMAL</x:v>
      </x:c>
      <x:c r="H79" s="31" t="str">
        <x:f>IF(C79="","MISSING",IF(C79&gt;=30,"HIGH TEMP","OK"))</x:f>
        <x:v>OK</x:v>
      </x:c>
      <x:c r="I79" s="31" t="str">
        <x:f>IF(E79="","NO DATA",IF(E79&lt;20,"LOW FLOW","OK"))</x:f>
        <x:v>OK</x:v>
      </x:c>
      <x:c r="J79" s="31" t="str">
        <x:f>IF(OR(C79="",D79="",E79=""),"MISSING",IF(OR(C79&lt;0,C79&gt;60,D79&lt;50,D79&gt;400,E79&lt;0,E79&gt;200),"REVIEW","OK"))</x:f>
        <x:v>OK</x:v>
      </x:c>
    </x:row>
    <x:row r="80">
      <x:c r="A80" s="31" t="n">
        <x:v>79</x:v>
      </x:c>
      <x:c r="B80" s="32" t="n">
        <x:v>46310.342361111114</x:v>
      </x:c>
      <x:c r="C80" s="33" t="n">
        <x:v>23.931</x:v>
      </x:c>
      <x:c r="D80" s="33" t="n">
        <x:v>211.202</x:v>
      </x:c>
      <x:c r="E80" s="33" t="n">
        <x:v>81.758</x:v>
      </x:c>
      <x:c r="F80" s="31" t="str"/>
      <x:c r="G80" s="31" t="str">
        <x:f>IF(C80="","NO DATA",IF(C80&gt;=30,"ALERT","NORMAL"))</x:f>
        <x:v>NORMAL</x:v>
      </x:c>
      <x:c r="H80" s="31" t="str">
        <x:f>IF(C80="","MISSING",IF(C80&gt;=30,"HIGH TEMP","OK"))</x:f>
        <x:v>OK</x:v>
      </x:c>
      <x:c r="I80" s="31" t="str">
        <x:f>IF(E80="","NO DATA",IF(E80&lt;20,"LOW FLOW","OK"))</x:f>
        <x:v>OK</x:v>
      </x:c>
      <x:c r="J80" s="31" t="str">
        <x:f>IF(OR(C80="",D80="",E80=""),"MISSING",IF(OR(C80&lt;0,C80&gt;60,D80&lt;50,D80&gt;400,E80&lt;0,E80&gt;200),"REVIEW","OK"))</x:f>
        <x:v>OK</x:v>
      </x:c>
    </x:row>
    <x:row r="81">
      <x:c r="A81" s="31" t="n">
        <x:v>80</x:v>
      </x:c>
      <x:c r="B81" s="32" t="n">
        <x:v>46310.34247685185</x:v>
      </x:c>
      <x:c r="C81" s="33" t="n">
        <x:v>23.915</x:v>
      </x:c>
      <x:c r="D81" s="33" t="n">
        <x:v>212.52</x:v>
      </x:c>
      <x:c r="E81" s="33" t="n">
        <x:v>80.983</x:v>
      </x:c>
      <x:c r="F81" s="31" t="str"/>
      <x:c r="G81" s="31" t="str">
        <x:f>IF(C81="","NO DATA",IF(C81&gt;=30,"ALERT","NORMAL"))</x:f>
        <x:v>NORMAL</x:v>
      </x:c>
      <x:c r="H81" s="31" t="str">
        <x:f>IF(C81="","MISSING",IF(C81&gt;=30,"HIGH TEMP","OK"))</x:f>
        <x:v>OK</x:v>
      </x:c>
      <x:c r="I81" s="31" t="str">
        <x:f>IF(E81="","NO DATA",IF(E81&lt;20,"LOW FLOW","OK"))</x:f>
        <x:v>OK</x:v>
      </x:c>
      <x:c r="J81" s="31" t="str">
        <x:f>IF(OR(C81="",D81="",E81=""),"MISSING",IF(OR(C81&lt;0,C81&gt;60,D81&lt;50,D81&gt;400,E81&lt;0,E81&gt;200),"REVIEW","OK"))</x:f>
        <x:v>OK</x:v>
      </x:c>
    </x:row>
    <x:row r="82">
      <x:c r="A82" s="31" t="n">
        <x:v>81</x:v>
      </x:c>
      <x:c r="B82" s="32" t="n">
        <x:v>46310.34259259259</x:v>
      </x:c>
      <x:c r="C82" s="33" t="n">
        <x:v>23.947</x:v>
      </x:c>
      <x:c r="D82" s="33" t="n">
        <x:v>212.379</x:v>
      </x:c>
      <x:c r="E82" s="33" t="n">
        <x:v>80.63</x:v>
      </x:c>
      <x:c r="F82" s="31" t="str"/>
      <x:c r="G82" s="31" t="str">
        <x:f>IF(C82="","NO DATA",IF(C82&gt;=30,"ALERT","NORMAL"))</x:f>
        <x:v>NORMAL</x:v>
      </x:c>
      <x:c r="H82" s="31" t="str">
        <x:f>IF(C82="","MISSING",IF(C82&gt;=30,"HIGH TEMP","OK"))</x:f>
        <x:v>OK</x:v>
      </x:c>
      <x:c r="I82" s="31" t="str">
        <x:f>IF(E82="","NO DATA",IF(E82&lt;20,"LOW FLOW","OK"))</x:f>
        <x:v>OK</x:v>
      </x:c>
      <x:c r="J82" s="31" t="str">
        <x:f>IF(OR(C82="",D82="",E82=""),"MISSING",IF(OR(C82&lt;0,C82&gt;60,D82&lt;50,D82&gt;400,E82&lt;0,E82&gt;200),"REVIEW","OK"))</x:f>
        <x:v>OK</x:v>
      </x:c>
    </x:row>
    <x:row r="83">
      <x:c r="A83" s="31" t="n">
        <x:v>82</x:v>
      </x:c>
      <x:c r="B83" s="32" t="n">
        <x:v>46310.34270833333</x:v>
      </x:c>
      <x:c r="C83" s="33" t="n">
        <x:v>24.081</x:v>
      </x:c>
      <x:c r="D83" s="33" t="n">
        <x:v>211.13</x:v>
      </x:c>
      <x:c r="E83" s="33" t="n">
        <x:v>80.976</x:v>
      </x:c>
      <x:c r="F83" s="31" t="str"/>
      <x:c r="G83" s="31" t="str">
        <x:f>IF(C83="","NO DATA",IF(C83&gt;=30,"ALERT","NORMAL"))</x:f>
        <x:v>NORMAL</x:v>
      </x:c>
      <x:c r="H83" s="31" t="str">
        <x:f>IF(C83="","MISSING",IF(C83&gt;=30,"HIGH TEMP","OK"))</x:f>
        <x:v>OK</x:v>
      </x:c>
      <x:c r="I83" s="31" t="str">
        <x:f>IF(E83="","NO DATA",IF(E83&lt;20,"LOW FLOW","OK"))</x:f>
        <x:v>OK</x:v>
      </x:c>
      <x:c r="J83" s="31" t="str">
        <x:f>IF(OR(C83="",D83="",E83=""),"MISSING",IF(OR(C83&lt;0,C83&gt;60,D83&lt;50,D83&gt;400,E83&lt;0,E83&gt;200),"REVIEW","OK"))</x:f>
        <x:v>OK</x:v>
      </x:c>
    </x:row>
    <x:row r="84">
      <x:c r="A84" s="31" t="n">
        <x:v>83</x:v>
      </x:c>
      <x:c r="B84" s="32" t="n">
        <x:v>46310.342824074076</x:v>
      </x:c>
      <x:c r="C84" s="33" t="n">
        <x:v>23.853</x:v>
      </x:c>
      <x:c r="D84" s="33" t="n">
        <x:v>211.593</x:v>
      </x:c>
      <x:c r="E84" s="33" t="n">
        <x:v>80.754</x:v>
      </x:c>
      <x:c r="F84" s="31" t="str"/>
      <x:c r="G84" s="31" t="str">
        <x:f>IF(C84="","NO DATA",IF(C84&gt;=30,"ALERT","NORMAL"))</x:f>
        <x:v>NORMAL</x:v>
      </x:c>
      <x:c r="H84" s="31" t="str">
        <x:f>IF(C84="","MISSING",IF(C84&gt;=30,"HIGH TEMP","OK"))</x:f>
        <x:v>OK</x:v>
      </x:c>
      <x:c r="I84" s="31" t="str">
        <x:f>IF(E84="","NO DATA",IF(E84&lt;20,"LOW FLOW","OK"))</x:f>
        <x:v>OK</x:v>
      </x:c>
      <x:c r="J84" s="31" t="str">
        <x:f>IF(OR(C84="",D84="",E84=""),"MISSING",IF(OR(C84&lt;0,C84&gt;60,D84&lt;50,D84&gt;400,E84&lt;0,E84&gt;200),"REVIEW","OK"))</x:f>
        <x:v>OK</x:v>
      </x:c>
    </x:row>
    <x:row r="85">
      <x:c r="A85" s="31" t="n">
        <x:v>84</x:v>
      </x:c>
      <x:c r="B85" s="32" t="n">
        <x:v>46310.342939814815</x:v>
      </x:c>
      <x:c r="C85" s="33" t="n">
        <x:v>23.851</x:v>
      </x:c>
      <x:c r="D85" s="33" t="n">
        <x:v>211.239</x:v>
      </x:c>
      <x:c r="E85" s="33" t="n">
        <x:v>80.834</x:v>
      </x:c>
      <x:c r="F85" s="31" t="str"/>
      <x:c r="G85" s="31" t="str">
        <x:f>IF(C85="","NO DATA",IF(C85&gt;=30,"ALERT","NORMAL"))</x:f>
        <x:v>NORMAL</x:v>
      </x:c>
      <x:c r="H85" s="31" t="str">
        <x:f>IF(C85="","MISSING",IF(C85&gt;=30,"HIGH TEMP","OK"))</x:f>
        <x:v>OK</x:v>
      </x:c>
      <x:c r="I85" s="31" t="str">
        <x:f>IF(E85="","NO DATA",IF(E85&lt;20,"LOW FLOW","OK"))</x:f>
        <x:v>OK</x:v>
      </x:c>
      <x:c r="J85" s="31" t="str">
        <x:f>IF(OR(C85="",D85="",E85=""),"MISSING",IF(OR(C85&lt;0,C85&gt;60,D85&lt;50,D85&gt;400,E85&lt;0,E85&gt;200),"REVIEW","OK"))</x:f>
        <x:v>OK</x:v>
      </x:c>
    </x:row>
    <x:row r="86">
      <x:c r="A86" s="31" t="n">
        <x:v>85</x:v>
      </x:c>
      <x:c r="B86" s="32" t="n">
        <x:v>46310.34305555555</x:v>
      </x:c>
      <x:c r="C86" s="33" t="n">
        <x:v>23.763</x:v>
      </x:c>
      <x:c r="D86" s="33" t="n">
        <x:v>211.549</x:v>
      </x:c>
      <x:c r="E86" s="33" t="n">
        <x:v>81.318</x:v>
      </x:c>
      <x:c r="F86" s="31" t="str"/>
      <x:c r="G86" s="31" t="str">
        <x:f>IF(C86="","NO DATA",IF(C86&gt;=30,"ALERT","NORMAL"))</x:f>
        <x:v>NORMAL</x:v>
      </x:c>
      <x:c r="H86" s="31" t="str">
        <x:f>IF(C86="","MISSING",IF(C86&gt;=30,"HIGH TEMP","OK"))</x:f>
        <x:v>OK</x:v>
      </x:c>
      <x:c r="I86" s="31" t="str">
        <x:f>IF(E86="","NO DATA",IF(E86&lt;20,"LOW FLOW","OK"))</x:f>
        <x:v>OK</x:v>
      </x:c>
      <x:c r="J86" s="31" t="str">
        <x:f>IF(OR(C86="",D86="",E86=""),"MISSING",IF(OR(C86&lt;0,C86&gt;60,D86&lt;50,D86&gt;400,E86&lt;0,E86&gt;200),"REVIEW","OK"))</x:f>
        <x:v>OK</x:v>
      </x:c>
    </x:row>
    <x:row r="87">
      <x:c r="A87" s="31" t="n">
        <x:v>86</x:v>
      </x:c>
      <x:c r="B87" s="32" t="n">
        <x:v>46310.3431712963</x:v>
      </x:c>
      <x:c r="C87" s="33" t="n">
        <x:v>24.021</x:v>
      </x:c>
      <x:c r="D87" s="33" t="n">
        <x:v>210.276</x:v>
      </x:c>
      <x:c r="E87" s="33" t="n">
        <x:v>79.329</x:v>
      </x:c>
      <x:c r="F87" s="31" t="str"/>
      <x:c r="G87" s="31" t="str">
        <x:f>IF(C87="","NO DATA",IF(C87&gt;=30,"ALERT","NORMAL"))</x:f>
        <x:v>NORMAL</x:v>
      </x:c>
      <x:c r="H87" s="31" t="str">
        <x:f>IF(C87="","MISSING",IF(C87&gt;=30,"HIGH TEMP","OK"))</x:f>
        <x:v>OK</x:v>
      </x:c>
      <x:c r="I87" s="31" t="str">
        <x:f>IF(E87="","NO DATA",IF(E87&lt;20,"LOW FLOW","OK"))</x:f>
        <x:v>OK</x:v>
      </x:c>
      <x:c r="J87" s="31" t="str">
        <x:f>IF(OR(C87="",D87="",E87=""),"MISSING",IF(OR(C87&lt;0,C87&gt;60,D87&lt;50,D87&gt;400,E87&lt;0,E87&gt;200),"REVIEW","OK"))</x:f>
        <x:v>OK</x:v>
      </x:c>
    </x:row>
    <x:row r="88">
      <x:c r="A88" s="31" t="n">
        <x:v>87</x:v>
      </x:c>
      <x:c r="B88" s="32" t="n">
        <x:v>46310.34328703704</x:v>
      </x:c>
      <x:c r="C88" s="33" t="n">
        <x:v>23.783</x:v>
      </x:c>
      <x:c r="D88" s="33" t="n">
        <x:v>212.737</x:v>
      </x:c>
      <x:c r="E88" s="33" t="n">
        <x:v>80.831</x:v>
      </x:c>
      <x:c r="F88" s="31" t="str"/>
      <x:c r="G88" s="31" t="str">
        <x:f>IF(C88="","NO DATA",IF(C88&gt;=30,"ALERT","NORMAL"))</x:f>
        <x:v>NORMAL</x:v>
      </x:c>
      <x:c r="H88" s="31" t="str">
        <x:f>IF(C88="","MISSING",IF(C88&gt;=30,"HIGH TEMP","OK"))</x:f>
        <x:v>OK</x:v>
      </x:c>
      <x:c r="I88" s="31" t="str">
        <x:f>IF(E88="","NO DATA",IF(E88&lt;20,"LOW FLOW","OK"))</x:f>
        <x:v>OK</x:v>
      </x:c>
      <x:c r="J88" s="31" t="str">
        <x:f>IF(OR(C88="",D88="",E88=""),"MISSING",IF(OR(C88&lt;0,C88&gt;60,D88&lt;50,D88&gt;400,E88&lt;0,E88&gt;200),"REVIEW","OK"))</x:f>
        <x:v>OK</x:v>
      </x:c>
    </x:row>
    <x:row r="89">
      <x:c r="A89" s="31" t="n">
        <x:v>88</x:v>
      </x:c>
      <x:c r="B89" s="32" t="n">
        <x:v>46310.34340277778</x:v>
      </x:c>
      <x:c r="C89" s="33" t="n">
        <x:v>23.948</x:v>
      </x:c>
      <x:c r="D89" s="33" t="n">
        <x:v>210.924</x:v>
      </x:c>
      <x:c r="E89" s="33" t="n">
        <x:v>79</x:v>
      </x:c>
      <x:c r="F89" s="31" t="str"/>
      <x:c r="G89" s="31" t="str">
        <x:f>IF(C89="","NO DATA",IF(C89&gt;=30,"ALERT","NORMAL"))</x:f>
        <x:v>NORMAL</x:v>
      </x:c>
      <x:c r="H89" s="31" t="str">
        <x:f>IF(C89="","MISSING",IF(C89&gt;=30,"HIGH TEMP","OK"))</x:f>
        <x:v>OK</x:v>
      </x:c>
      <x:c r="I89" s="31" t="str">
        <x:f>IF(E89="","NO DATA",IF(E89&lt;20,"LOW FLOW","OK"))</x:f>
        <x:v>OK</x:v>
      </x:c>
      <x:c r="J89" s="31" t="str">
        <x:f>IF(OR(C89="",D89="",E89=""),"MISSING",IF(OR(C89&lt;0,C89&gt;60,D89&lt;50,D89&gt;400,E89&lt;0,E89&gt;200),"REVIEW","OK"))</x:f>
        <x:v>OK</x:v>
      </x:c>
    </x:row>
    <x:row r="90">
      <x:c r="A90" s="31" t="n">
        <x:v>89</x:v>
      </x:c>
      <x:c r="B90" s="32" t="n">
        <x:v>46310.343518518515</x:v>
      </x:c>
      <x:c r="C90" s="33" t="n">
        <x:v>23.915</x:v>
      </x:c>
      <x:c r="D90" s="33" t="n">
        <x:v>211.804</x:v>
      </x:c>
      <x:c r="E90" s="33" t="n">
        <x:v>79.998</x:v>
      </x:c>
      <x:c r="F90" s="31" t="str"/>
      <x:c r="G90" s="31" t="str">
        <x:f>IF(C90="","NO DATA",IF(C90&gt;=30,"ALERT","NORMAL"))</x:f>
        <x:v>NORMAL</x:v>
      </x:c>
      <x:c r="H90" s="31" t="str">
        <x:f>IF(C90="","MISSING",IF(C90&gt;=30,"HIGH TEMP","OK"))</x:f>
        <x:v>OK</x:v>
      </x:c>
      <x:c r="I90" s="31" t="str">
        <x:f>IF(E90="","NO DATA",IF(E90&lt;20,"LOW FLOW","OK"))</x:f>
        <x:v>OK</x:v>
      </x:c>
      <x:c r="J90" s="31" t="str">
        <x:f>IF(OR(C90="",D90="",E90=""),"MISSING",IF(OR(C90&lt;0,C90&gt;60,D90&lt;50,D90&gt;400,E90&lt;0,E90&gt;200),"REVIEW","OK"))</x:f>
        <x:v>OK</x:v>
      </x:c>
    </x:row>
    <x:row r="91">
      <x:c r="A91" s="31" t="n">
        <x:v>90</x:v>
      </x:c>
      <x:c r="B91" s="32" t="n">
        <x:v>46310.34363425926</x:v>
      </x:c>
      <x:c r="C91" s="33" t="n">
        <x:v>23.943</x:v>
      </x:c>
      <x:c r="D91" s="33" t="n">
        <x:v>211.531</x:v>
      </x:c>
      <x:c r="E91" s="33" t="n">
        <x:v>78.462</x:v>
      </x:c>
      <x:c r="F91" s="31" t="str"/>
      <x:c r="G91" s="31" t="str">
        <x:f>IF(C91="","NO DATA",IF(C91&gt;=30,"ALERT","NORMAL"))</x:f>
        <x:v>NORMAL</x:v>
      </x:c>
      <x:c r="H91" s="31" t="str">
        <x:f>IF(C91="","MISSING",IF(C91&gt;=30,"HIGH TEMP","OK"))</x:f>
        <x:v>OK</x:v>
      </x:c>
      <x:c r="I91" s="31" t="str">
        <x:f>IF(E91="","NO DATA",IF(E91&lt;20,"LOW FLOW","OK"))</x:f>
        <x:v>OK</x:v>
      </x:c>
      <x:c r="J91" s="31" t="str">
        <x:f>IF(OR(C91="",D91="",E91=""),"MISSING",IF(OR(C91&lt;0,C91&gt;60,D91&lt;50,D91&gt;400,E91&lt;0,E91&gt;200),"REVIEW","OK"))</x:f>
        <x:v>OK</x:v>
      </x:c>
    </x:row>
    <x:row r="92">
      <x:c r="A92" s="31" t="n">
        <x:v>91</x:v>
      </x:c>
      <x:c r="B92" s="32" t="n">
        <x:v>46310.34375</x:v>
      </x:c>
      <x:c r="C92" s="33" t="n">
        <x:v>23.874</x:v>
      </x:c>
      <x:c r="D92" s="33" t="n">
        <x:v>210.343</x:v>
      </x:c>
      <x:c r="E92" s="33" t="n">
        <x:v>79.953</x:v>
      </x:c>
      <x:c r="F92" s="31" t="str"/>
      <x:c r="G92" s="31" t="str">
        <x:f>IF(C92="","NO DATA",IF(C92&gt;=30,"ALERT","NORMAL"))</x:f>
        <x:v>NORMAL</x:v>
      </x:c>
      <x:c r="H92" s="31" t="str">
        <x:f>IF(C92="","MISSING",IF(C92&gt;=30,"HIGH TEMP","OK"))</x:f>
        <x:v>OK</x:v>
      </x:c>
      <x:c r="I92" s="31" t="str">
        <x:f>IF(E92="","NO DATA",IF(E92&lt;20,"LOW FLOW","OK"))</x:f>
        <x:v>OK</x:v>
      </x:c>
      <x:c r="J92" s="31" t="str">
        <x:f>IF(OR(C92="",D92="",E92=""),"MISSING",IF(OR(C92&lt;0,C92&gt;60,D92&lt;50,D92&gt;400,E92&lt;0,E92&gt;200),"REVIEW","OK"))</x:f>
        <x:v>OK</x:v>
      </x:c>
    </x:row>
    <x:row r="93">
      <x:c r="A93" s="31" t="n">
        <x:v>92</x:v>
      </x:c>
      <x:c r="B93" s="32" t="n">
        <x:v>46310.34386574074</x:v>
      </x:c>
      <x:c r="C93" s="33" t="n">
        <x:v>23.893</x:v>
      </x:c>
      <x:c r="D93" s="33" t="n">
        <x:v>209.721</x:v>
      </x:c>
      <x:c r="E93" s="33" t="n">
        <x:v>78.561</x:v>
      </x:c>
      <x:c r="F93" s="31" t="str"/>
      <x:c r="G93" s="31" t="str">
        <x:f>IF(C93="","NO DATA",IF(C93&gt;=30,"ALERT","NORMAL"))</x:f>
        <x:v>NORMAL</x:v>
      </x:c>
      <x:c r="H93" s="31" t="str">
        <x:f>IF(C93="","MISSING",IF(C93&gt;=30,"HIGH TEMP","OK"))</x:f>
        <x:v>OK</x:v>
      </x:c>
      <x:c r="I93" s="31" t="str">
        <x:f>IF(E93="","NO DATA",IF(E93&lt;20,"LOW FLOW","OK"))</x:f>
        <x:v>OK</x:v>
      </x:c>
      <x:c r="J93" s="31" t="str">
        <x:f>IF(OR(C93="",D93="",E93=""),"MISSING",IF(OR(C93&lt;0,C93&gt;60,D93&lt;50,D93&gt;400,E93&lt;0,E93&gt;200),"REVIEW","OK"))</x:f>
        <x:v>OK</x:v>
      </x:c>
    </x:row>
    <x:row r="94">
      <x:c r="A94" s="31" t="n">
        <x:v>93</x:v>
      </x:c>
      <x:c r="B94" s="32" t="n">
        <x:v>46310.343981481485</x:v>
      </x:c>
      <x:c r="C94" s="33" t="n">
        <x:v>23.626</x:v>
      </x:c>
      <x:c r="D94" s="33" t="n">
        <x:v>210.852</x:v>
      </x:c>
      <x:c r="E94" s="33" t="n">
        <x:v>78.866</x:v>
      </x:c>
      <x:c r="F94" s="31" t="str"/>
      <x:c r="G94" s="31" t="str">
        <x:f>IF(C94="","NO DATA",IF(C94&gt;=30,"ALERT","NORMAL"))</x:f>
        <x:v>NORMAL</x:v>
      </x:c>
      <x:c r="H94" s="31" t="str">
        <x:f>IF(C94="","MISSING",IF(C94&gt;=30,"HIGH TEMP","OK"))</x:f>
        <x:v>OK</x:v>
      </x:c>
      <x:c r="I94" s="31" t="str">
        <x:f>IF(E94="","NO DATA",IF(E94&lt;20,"LOW FLOW","OK"))</x:f>
        <x:v>OK</x:v>
      </x:c>
      <x:c r="J94" s="31" t="str">
        <x:f>IF(OR(C94="",D94="",E94=""),"MISSING",IF(OR(C94&lt;0,C94&gt;60,D94&lt;50,D94&gt;400,E94&lt;0,E94&gt;200),"REVIEW","OK"))</x:f>
        <x:v>OK</x:v>
      </x:c>
    </x:row>
    <x:row r="95">
      <x:c r="A95" s="31" t="n">
        <x:v>94</x:v>
      </x:c>
      <x:c r="B95" s="32" t="n">
        <x:v>46310.34409722222</x:v>
      </x:c>
      <x:c r="C95" s="33" t="n">
        <x:v>23.758</x:v>
      </x:c>
      <x:c r="D95" s="33" t="n">
        <x:v>211.217</x:v>
      </x:c>
      <x:c r="E95" s="33" t="n">
        <x:v>78.635</x:v>
      </x:c>
      <x:c r="F95" s="31" t="str"/>
      <x:c r="G95" s="31" t="str">
        <x:f>IF(C95="","NO DATA",IF(C95&gt;=30,"ALERT","NORMAL"))</x:f>
        <x:v>NORMAL</x:v>
      </x:c>
      <x:c r="H95" s="31" t="str">
        <x:f>IF(C95="","MISSING",IF(C95&gt;=30,"HIGH TEMP","OK"))</x:f>
        <x:v>OK</x:v>
      </x:c>
      <x:c r="I95" s="31" t="str">
        <x:f>IF(E95="","NO DATA",IF(E95&lt;20,"LOW FLOW","OK"))</x:f>
        <x:v>OK</x:v>
      </x:c>
      <x:c r="J95" s="31" t="str">
        <x:f>IF(OR(C95="",D95="",E95=""),"MISSING",IF(OR(C95&lt;0,C95&gt;60,D95&lt;50,D95&gt;400,E95&lt;0,E95&gt;200),"REVIEW","OK"))</x:f>
        <x:v>OK</x:v>
      </x:c>
    </x:row>
    <x:row r="96">
      <x:c r="A96" s="31" t="n">
        <x:v>95</x:v>
      </x:c>
      <x:c r="B96" s="32" t="n">
        <x:v>46310.34421296296</x:v>
      </x:c>
      <x:c r="C96" s="33" t="n">
        <x:v>23.75</x:v>
      </x:c>
      <x:c r="D96" s="33" t="n">
        <x:v>209.728</x:v>
      </x:c>
      <x:c r="E96" s="33" t="n">
        <x:v>79.258</x:v>
      </x:c>
      <x:c r="F96" s="31" t="str"/>
      <x:c r="G96" s="31" t="str">
        <x:f>IF(C96="","NO DATA",IF(C96&gt;=30,"ALERT","NORMAL"))</x:f>
        <x:v>NORMAL</x:v>
      </x:c>
      <x:c r="H96" s="31" t="str">
        <x:f>IF(C96="","MISSING",IF(C96&gt;=30,"HIGH TEMP","OK"))</x:f>
        <x:v>OK</x:v>
      </x:c>
      <x:c r="I96" s="31" t="str">
        <x:f>IF(E96="","NO DATA",IF(E96&lt;20,"LOW FLOW","OK"))</x:f>
        <x:v>OK</x:v>
      </x:c>
      <x:c r="J96" s="31" t="str">
        <x:f>IF(OR(C96="",D96="",E96=""),"MISSING",IF(OR(C96&lt;0,C96&gt;60,D96&lt;50,D96&gt;400,E96&lt;0,E96&gt;200),"REVIEW","OK"))</x:f>
        <x:v>OK</x:v>
      </x:c>
    </x:row>
    <x:row r="97">
      <x:c r="A97" s="31" t="n">
        <x:v>96</x:v>
      </x:c>
      <x:c r="B97" s="32" t="n">
        <x:v>46310.3443287037</x:v>
      </x:c>
      <x:c r="C97" s="33" t="n">
        <x:v>23.816</x:v>
      </x:c>
      <x:c r="D97" s="33" t="n">
        <x:v>211.346</x:v>
      </x:c>
      <x:c r="E97" s="33" t="n">
        <x:v>78.252</x:v>
      </x:c>
      <x:c r="F97" s="31" t="str"/>
      <x:c r="G97" s="31" t="str">
        <x:f>IF(C97="","NO DATA",IF(C97&gt;=30,"ALERT","NORMAL"))</x:f>
        <x:v>NORMAL</x:v>
      </x:c>
      <x:c r="H97" s="31" t="str">
        <x:f>IF(C97="","MISSING",IF(C97&gt;=30,"HIGH TEMP","OK"))</x:f>
        <x:v>OK</x:v>
      </x:c>
      <x:c r="I97" s="31" t="str">
        <x:f>IF(E97="","NO DATA",IF(E97&lt;20,"LOW FLOW","OK"))</x:f>
        <x:v>OK</x:v>
      </x:c>
      <x:c r="J97" s="31" t="str">
        <x:f>IF(OR(C97="",D97="",E97=""),"MISSING",IF(OR(C97&lt;0,C97&gt;60,D97&lt;50,D97&gt;400,E97&lt;0,E97&gt;200),"REVIEW","OK"))</x:f>
        <x:v>OK</x:v>
      </x:c>
    </x:row>
    <x:row r="98">
      <x:c r="A98" s="31" t="n">
        <x:v>97</x:v>
      </x:c>
      <x:c r="B98" s="32" t="n">
        <x:v>46310.34444444445</x:v>
      </x:c>
      <x:c r="C98" s="33" t="n">
        <x:v>23.656</x:v>
      </x:c>
      <x:c r="D98" s="33" t="n">
        <x:v>209.509</x:v>
      </x:c>
      <x:c r="E98" s="33" t="n">
        <x:v>77.989</x:v>
      </x:c>
      <x:c r="F98" s="31" t="str"/>
      <x:c r="G98" s="31" t="str">
        <x:f>IF(C98="","NO DATA",IF(C98&gt;=30,"ALERT","NORMAL"))</x:f>
        <x:v>NORMAL</x:v>
      </x:c>
      <x:c r="H98" s="31" t="str">
        <x:f>IF(C98="","MISSING",IF(C98&gt;=30,"HIGH TEMP","OK"))</x:f>
        <x:v>OK</x:v>
      </x:c>
      <x:c r="I98" s="31" t="str">
        <x:f>IF(E98="","NO DATA",IF(E98&lt;20,"LOW FLOW","OK"))</x:f>
        <x:v>OK</x:v>
      </x:c>
      <x:c r="J98" s="31" t="str">
        <x:f>IF(OR(C98="",D98="",E98=""),"MISSING",IF(OR(C98&lt;0,C98&gt;60,D98&lt;50,D98&gt;400,E98&lt;0,E98&gt;200),"REVIEW","OK"))</x:f>
        <x:v>OK</x:v>
      </x:c>
    </x:row>
    <x:row r="99">
      <x:c r="A99" s="31" t="n">
        <x:v>98</x:v>
      </x:c>
      <x:c r="B99" s="32" t="n">
        <x:v>46310.344560185185</x:v>
      </x:c>
      <x:c r="C99" s="33" t="n">
        <x:v>23.745</x:v>
      </x:c>
      <x:c r="D99" s="33" t="n">
        <x:v>210.462</x:v>
      </x:c>
      <x:c r="E99" s="33" t="n">
        <x:v>78.566</x:v>
      </x:c>
      <x:c r="F99" s="31" t="str"/>
      <x:c r="G99" s="31" t="str">
        <x:f>IF(C99="","NO DATA",IF(C99&gt;=30,"ALERT","NORMAL"))</x:f>
        <x:v>NORMAL</x:v>
      </x:c>
      <x:c r="H99" s="31" t="str">
        <x:f>IF(C99="","MISSING",IF(C99&gt;=30,"HIGH TEMP","OK"))</x:f>
        <x:v>OK</x:v>
      </x:c>
      <x:c r="I99" s="31" t="str">
        <x:f>IF(E99="","NO DATA",IF(E99&lt;20,"LOW FLOW","OK"))</x:f>
        <x:v>OK</x:v>
      </x:c>
      <x:c r="J99" s="31" t="str">
        <x:f>IF(OR(C99="",D99="",E99=""),"MISSING",IF(OR(C99&lt;0,C99&gt;60,D99&lt;50,D99&gt;400,E99&lt;0,E99&gt;200),"REVIEW","OK"))</x:f>
        <x:v>OK</x:v>
      </x:c>
    </x:row>
    <x:row r="100">
      <x:c r="A100" s="31" t="n">
        <x:v>99</x:v>
      </x:c>
      <x:c r="B100" s="32" t="n">
        <x:v>46310.344675925924</x:v>
      </x:c>
      <x:c r="C100" s="33" t="n">
        <x:v>23.721</x:v>
      </x:c>
      <x:c r="D100" s="33" t="n">
        <x:v>210.076</x:v>
      </x:c>
      <x:c r="E100" s="33" t="n">
        <x:v>78.926</x:v>
      </x:c>
      <x:c r="F100" s="31" t="str"/>
      <x:c r="G100" s="31" t="str">
        <x:f>IF(C100="","NO DATA",IF(C100&gt;=30,"ALERT","NORMAL"))</x:f>
        <x:v>NORMAL</x:v>
      </x:c>
      <x:c r="H100" s="31" t="str">
        <x:f>IF(C100="","MISSING",IF(C100&gt;=30,"HIGH TEMP","OK"))</x:f>
        <x:v>OK</x:v>
      </x:c>
      <x:c r="I100" s="31" t="str">
        <x:f>IF(E100="","NO DATA",IF(E100&lt;20,"LOW FLOW","OK"))</x:f>
        <x:v>OK</x:v>
      </x:c>
      <x:c r="J100" s="31" t="str">
        <x:f>IF(OR(C100="",D100="",E100=""),"MISSING",IF(OR(C100&lt;0,C100&gt;60,D100&lt;50,D100&gt;400,E100&lt;0,E100&gt;200),"REVIEW","OK"))</x:f>
        <x:v>OK</x:v>
      </x:c>
    </x:row>
    <x:row r="101">
      <x:c r="A101" s="31" t="n">
        <x:v>100</x:v>
      </x:c>
      <x:c r="B101" s="32" t="n">
        <x:v>46310.34479166667</x:v>
      </x:c>
      <x:c r="C101" s="33" t="n">
        <x:v>23.488</x:v>
      </x:c>
      <x:c r="D101" s="33" t="n">
        <x:v>208.518</x:v>
      </x:c>
      <x:c r="E101" s="33" t="n">
        <x:v>79.987</x:v>
      </x:c>
      <x:c r="F101" s="31" t="str"/>
      <x:c r="G101" s="31" t="str">
        <x:f>IF(C101="","NO DATA",IF(C101&gt;=30,"ALERT","NORMAL"))</x:f>
        <x:v>NORMAL</x:v>
      </x:c>
      <x:c r="H101" s="31" t="str">
        <x:f>IF(C101="","MISSING",IF(C101&gt;=30,"HIGH TEMP","OK"))</x:f>
        <x:v>OK</x:v>
      </x:c>
      <x:c r="I101" s="31" t="str">
        <x:f>IF(E101="","NO DATA",IF(E101&lt;20,"LOW FLOW","OK"))</x:f>
        <x:v>OK</x:v>
      </x:c>
      <x:c r="J101" s="31" t="str">
        <x:f>IF(OR(C101="",D101="",E101=""),"MISSING",IF(OR(C101&lt;0,C101&gt;60,D101&lt;50,D101&gt;400,E101&lt;0,E101&gt;200),"REVIEW","OK"))</x:f>
        <x:v>OK</x:v>
      </x:c>
    </x:row>
    <x:row r="102">
      <x:c r="A102" s="31" t="n">
        <x:v>101</x:v>
      </x:c>
      <x:c r="B102" s="32" t="n">
        <x:v>46310.34490740741</x:v>
      </x:c>
      <x:c r="C102" s="33" t="n">
        <x:v>23.743</x:v>
      </x:c>
      <x:c r="D102" s="33" t="n">
        <x:v>209.8</x:v>
      </x:c>
      <x:c r="E102" s="33" t="n">
        <x:v>79.845</x:v>
      </x:c>
      <x:c r="F102" s="31" t="str"/>
      <x:c r="G102" s="31" t="str">
        <x:f>IF(C102="","NO DATA",IF(C102&gt;=30,"ALERT","NORMAL"))</x:f>
        <x:v>NORMAL</x:v>
      </x:c>
      <x:c r="H102" s="31" t="str">
        <x:f>IF(C102="","MISSING",IF(C102&gt;=30,"HIGH TEMP","OK"))</x:f>
        <x:v>OK</x:v>
      </x:c>
      <x:c r="I102" s="31" t="str">
        <x:f>IF(E102="","NO DATA",IF(E102&lt;20,"LOW FLOW","OK"))</x:f>
        <x:v>OK</x:v>
      </x:c>
      <x:c r="J102" s="31" t="str">
        <x:f>IF(OR(C102="",D102="",E102=""),"MISSING",IF(OR(C102&lt;0,C102&gt;60,D102&lt;50,D102&gt;400,E102&lt;0,E102&gt;200),"REVIEW","OK"))</x:f>
        <x:v>OK</x:v>
      </x:c>
    </x:row>
    <x:row r="103">
      <x:c r="A103" s="31" t="n">
        <x:v>102</x:v>
      </x:c>
      <x:c r="B103" s="32" t="n">
        <x:v>46310.34502314815</x:v>
      </x:c>
      <x:c r="C103" s="33" t="n">
        <x:v>23.634</x:v>
      </x:c>
      <x:c r="D103" s="33" t="n">
        <x:v>208.479</x:v>
      </x:c>
      <x:c r="E103" s="33" t="n">
        <x:v>78.128</x:v>
      </x:c>
      <x:c r="F103" s="31" t="str"/>
      <x:c r="G103" s="31" t="str">
        <x:f>IF(C103="","NO DATA",IF(C103&gt;=30,"ALERT","NORMAL"))</x:f>
        <x:v>NORMAL</x:v>
      </x:c>
      <x:c r="H103" s="31" t="str">
        <x:f>IF(C103="","MISSING",IF(C103&gt;=30,"HIGH TEMP","OK"))</x:f>
        <x:v>OK</x:v>
      </x:c>
      <x:c r="I103" s="31" t="str">
        <x:f>IF(E103="","NO DATA",IF(E103&lt;20,"LOW FLOW","OK"))</x:f>
        <x:v>OK</x:v>
      </x:c>
      <x:c r="J103" s="31" t="str">
        <x:f>IF(OR(C103="",D103="",E103=""),"MISSING",IF(OR(C103&lt;0,C103&gt;60,D103&lt;50,D103&gt;400,E103&lt;0,E103&gt;200),"REVIEW","OK"))</x:f>
        <x:v>OK</x:v>
      </x:c>
    </x:row>
    <x:row r="104">
      <x:c r="A104" s="31" t="n">
        <x:v>103</x:v>
      </x:c>
      <x:c r="B104" s="32" t="n">
        <x:v>46310.345138888886</x:v>
      </x:c>
      <x:c r="C104" s="33" t="n">
        <x:v>23.539</x:v>
      </x:c>
      <x:c r="D104" s="33" t="n">
        <x:v>210.604</x:v>
      </x:c>
      <x:c r="E104" s="33" t="n">
        <x:v>79.719</x:v>
      </x:c>
      <x:c r="F104" s="31" t="str"/>
      <x:c r="G104" s="31" t="str">
        <x:f>IF(C104="","NO DATA",IF(C104&gt;=30,"ALERT","NORMAL"))</x:f>
        <x:v>NORMAL</x:v>
      </x:c>
      <x:c r="H104" s="31" t="str">
        <x:f>IF(C104="","MISSING",IF(C104&gt;=30,"HIGH TEMP","OK"))</x:f>
        <x:v>OK</x:v>
      </x:c>
      <x:c r="I104" s="31" t="str">
        <x:f>IF(E104="","NO DATA",IF(E104&lt;20,"LOW FLOW","OK"))</x:f>
        <x:v>OK</x:v>
      </x:c>
      <x:c r="J104" s="31" t="str">
        <x:f>IF(OR(C104="",D104="",E104=""),"MISSING",IF(OR(C104&lt;0,C104&gt;60,D104&lt;50,D104&gt;400,E104&lt;0,E104&gt;200),"REVIEW","OK"))</x:f>
        <x:v>OK</x:v>
      </x:c>
    </x:row>
    <x:row r="105">
      <x:c r="A105" s="31" t="n">
        <x:v>104</x:v>
      </x:c>
      <x:c r="B105" s="32" t="n">
        <x:v>46310.34525462963</x:v>
      </x:c>
      <x:c r="C105" s="33" t="n">
        <x:v>23.693</x:v>
      </x:c>
      <x:c r="D105" s="33" t="n">
        <x:v>210.477</x:v>
      </x:c>
      <x:c r="E105" s="33" t="n">
        <x:v>78.306</x:v>
      </x:c>
      <x:c r="F105" s="31" t="str"/>
      <x:c r="G105" s="31" t="str">
        <x:f>IF(C105="","NO DATA",IF(C105&gt;=30,"ALERT","NORMAL"))</x:f>
        <x:v>NORMAL</x:v>
      </x:c>
      <x:c r="H105" s="31" t="str">
        <x:f>IF(C105="","MISSING",IF(C105&gt;=30,"HIGH TEMP","OK"))</x:f>
        <x:v>OK</x:v>
      </x:c>
      <x:c r="I105" s="31" t="str">
        <x:f>IF(E105="","NO DATA",IF(E105&lt;20,"LOW FLOW","OK"))</x:f>
        <x:v>OK</x:v>
      </x:c>
      <x:c r="J105" s="31" t="str">
        <x:f>IF(OR(C105="",D105="",E105=""),"MISSING",IF(OR(C105&lt;0,C105&gt;60,D105&lt;50,D105&gt;400,E105&lt;0,E105&gt;200),"REVIEW","OK"))</x:f>
        <x:v>OK</x:v>
      </x:c>
    </x:row>
    <x:row r="106">
      <x:c r="A106" s="31" t="n">
        <x:v>105</x:v>
      </x:c>
      <x:c r="B106" s="32" t="n">
        <x:v>46310.34537037037</x:v>
      </x:c>
      <x:c r="C106" s="33" t="n">
        <x:v>23.499</x:v>
      </x:c>
      <x:c r="D106" s="33" t="n">
        <x:v>207.962</x:v>
      </x:c>
      <x:c r="E106" s="33" t="n">
        <x:v>79.673</x:v>
      </x:c>
      <x:c r="F106" s="31" t="str"/>
      <x:c r="G106" s="31" t="str">
        <x:f>IF(C106="","NO DATA",IF(C106&gt;=30,"ALERT","NORMAL"))</x:f>
        <x:v>NORMAL</x:v>
      </x:c>
      <x:c r="H106" s="31" t="str">
        <x:f>IF(C106="","MISSING",IF(C106&gt;=30,"HIGH TEMP","OK"))</x:f>
        <x:v>OK</x:v>
      </x:c>
      <x:c r="I106" s="31" t="str">
        <x:f>IF(E106="","NO DATA",IF(E106&lt;20,"LOW FLOW","OK"))</x:f>
        <x:v>OK</x:v>
      </x:c>
      <x:c r="J106" s="31" t="str">
        <x:f>IF(OR(C106="",D106="",E106=""),"MISSING",IF(OR(C106&lt;0,C106&gt;60,D106&lt;50,D106&gt;400,E106&lt;0,E106&gt;200),"REVIEW","OK"))</x:f>
        <x:v>OK</x:v>
      </x:c>
    </x:row>
    <x:row r="107">
      <x:c r="A107" s="31" t="n">
        <x:v>106</x:v>
      </x:c>
      <x:c r="B107" s="32" t="n">
        <x:v>46310.34548611111</x:v>
      </x:c>
      <x:c r="C107" s="33" t="n">
        <x:v>23.679</x:v>
      </x:c>
      <x:c r="D107" s="33" t="n">
        <x:v>208.747</x:v>
      </x:c>
      <x:c r="E107" s="33" t="n">
        <x:v>79.295</x:v>
      </x:c>
      <x:c r="F107" s="31" t="str"/>
      <x:c r="G107" s="31" t="str">
        <x:f>IF(C107="","NO DATA",IF(C107&gt;=30,"ALERT","NORMAL"))</x:f>
        <x:v>NORMAL</x:v>
      </x:c>
      <x:c r="H107" s="31" t="str">
        <x:f>IF(C107="","MISSING",IF(C107&gt;=30,"HIGH TEMP","OK"))</x:f>
        <x:v>OK</x:v>
      </x:c>
      <x:c r="I107" s="31" t="str">
        <x:f>IF(E107="","NO DATA",IF(E107&lt;20,"LOW FLOW","OK"))</x:f>
        <x:v>OK</x:v>
      </x:c>
      <x:c r="J107" s="31" t="str">
        <x:f>IF(OR(C107="",D107="",E107=""),"MISSING",IF(OR(C107&lt;0,C107&gt;60,D107&lt;50,D107&gt;400,E107&lt;0,E107&gt;200),"REVIEW","OK"))</x:f>
        <x:v>OK</x:v>
      </x:c>
    </x:row>
    <x:row r="108">
      <x:c r="A108" s="31" t="n">
        <x:v>107</x:v>
      </x:c>
      <x:c r="B108" s="32" t="n">
        <x:v>46310.345601851855</x:v>
      </x:c>
      <x:c r="C108" s="33" t="n">
        <x:v>23.451</x:v>
      </x:c>
      <x:c r="D108" s="33" t="n">
        <x:v>210.193</x:v>
      </x:c>
      <x:c r="E108" s="33" t="n">
        <x:v>79.892</x:v>
      </x:c>
      <x:c r="F108" s="31" t="str"/>
      <x:c r="G108" s="31" t="str">
        <x:f>IF(C108="","NO DATA",IF(C108&gt;=30,"ALERT","NORMAL"))</x:f>
        <x:v>NORMAL</x:v>
      </x:c>
      <x:c r="H108" s="31" t="str">
        <x:f>IF(C108="","MISSING",IF(C108&gt;=30,"HIGH TEMP","OK"))</x:f>
        <x:v>OK</x:v>
      </x:c>
      <x:c r="I108" s="31" t="str">
        <x:f>IF(E108="","NO DATA",IF(E108&lt;20,"LOW FLOW","OK"))</x:f>
        <x:v>OK</x:v>
      </x:c>
      <x:c r="J108" s="31" t="str">
        <x:f>IF(OR(C108="",D108="",E108=""),"MISSING",IF(OR(C108&lt;0,C108&gt;60,D108&lt;50,D108&gt;400,E108&lt;0,E108&gt;200),"REVIEW","OK"))</x:f>
        <x:v>OK</x:v>
      </x:c>
    </x:row>
    <x:row r="109">
      <x:c r="A109" s="31" t="n">
        <x:v>108</x:v>
      </x:c>
      <x:c r="B109" s="32" t="n">
        <x:v>46310.345717592594</x:v>
      </x:c>
      <x:c r="C109" s="33" t="n">
        <x:v>23.689</x:v>
      </x:c>
      <x:c r="D109" s="33" t="n">
        <x:v>209.712</x:v>
      </x:c>
      <x:c r="E109" s="33" t="n">
        <x:v>79.95</x:v>
      </x:c>
      <x:c r="F109" s="31" t="str"/>
      <x:c r="G109" s="31" t="str">
        <x:f>IF(C109="","NO DATA",IF(C109&gt;=30,"ALERT","NORMAL"))</x:f>
        <x:v>NORMAL</x:v>
      </x:c>
      <x:c r="H109" s="31" t="str">
        <x:f>IF(C109="","MISSING",IF(C109&gt;=30,"HIGH TEMP","OK"))</x:f>
        <x:v>OK</x:v>
      </x:c>
      <x:c r="I109" s="31" t="str">
        <x:f>IF(E109="","NO DATA",IF(E109&lt;20,"LOW FLOW","OK"))</x:f>
        <x:v>OK</x:v>
      </x:c>
      <x:c r="J109" s="31" t="str">
        <x:f>IF(OR(C109="",D109="",E109=""),"MISSING",IF(OR(C109&lt;0,C109&gt;60,D109&lt;50,D109&gt;400,E109&lt;0,E109&gt;200),"REVIEW","OK"))</x:f>
        <x:v>OK</x:v>
      </x:c>
    </x:row>
    <x:row r="110">
      <x:c r="A110" s="31" t="n">
        <x:v>109</x:v>
      </x:c>
      <x:c r="B110" s="32" t="n">
        <x:v>46310.34583333333</x:v>
      </x:c>
      <x:c r="C110" s="33" t="n">
        <x:v>23.395</x:v>
      </x:c>
      <x:c r="D110" s="33" t="n">
        <x:v>209.367</x:v>
      </x:c>
      <x:c r="E110" s="33" t="n">
        <x:v>78.655</x:v>
      </x:c>
      <x:c r="F110" s="31" t="str"/>
      <x:c r="G110" s="31" t="str">
        <x:f>IF(C110="","NO DATA",IF(C110&gt;=30,"ALERT","NORMAL"))</x:f>
        <x:v>NORMAL</x:v>
      </x:c>
      <x:c r="H110" s="31" t="str">
        <x:f>IF(C110="","MISSING",IF(C110&gt;=30,"HIGH TEMP","OK"))</x:f>
        <x:v>OK</x:v>
      </x:c>
      <x:c r="I110" s="31" t="str">
        <x:f>IF(E110="","NO DATA",IF(E110&lt;20,"LOW FLOW","OK"))</x:f>
        <x:v>OK</x:v>
      </x:c>
      <x:c r="J110" s="31" t="str">
        <x:f>IF(OR(C110="",D110="",E110=""),"MISSING",IF(OR(C110&lt;0,C110&gt;60,D110&lt;50,D110&gt;400,E110&lt;0,E110&gt;200),"REVIEW","OK"))</x:f>
        <x:v>OK</x:v>
      </x:c>
    </x:row>
    <x:row r="111">
      <x:c r="A111" s="31" t="n">
        <x:v>110</x:v>
      </x:c>
      <x:c r="B111" s="32" t="n">
        <x:v>46310.34594907407</x:v>
      </x:c>
      <x:c r="C111" s="33" t="n">
        <x:v>23.66</x:v>
      </x:c>
      <x:c r="D111" s="33" t="n">
        <x:v>209.443</x:v>
      </x:c>
      <x:c r="E111" s="33" t="n">
        <x:v>79.961</x:v>
      </x:c>
      <x:c r="F111" s="31" t="str"/>
      <x:c r="G111" s="31" t="str">
        <x:f>IF(C111="","NO DATA",IF(C111&gt;=30,"ALERT","NORMAL"))</x:f>
        <x:v>NORMAL</x:v>
      </x:c>
      <x:c r="H111" s="31" t="str">
        <x:f>IF(C111="","MISSING",IF(C111&gt;=30,"HIGH TEMP","OK"))</x:f>
        <x:v>OK</x:v>
      </x:c>
      <x:c r="I111" s="31" t="str">
        <x:f>IF(E111="","NO DATA",IF(E111&lt;20,"LOW FLOW","OK"))</x:f>
        <x:v>OK</x:v>
      </x:c>
      <x:c r="J111" s="31" t="str">
        <x:f>IF(OR(C111="",D111="",E111=""),"MISSING",IF(OR(C111&lt;0,C111&gt;60,D111&lt;50,D111&gt;400,E111&lt;0,E111&gt;200),"REVIEW","OK"))</x:f>
        <x:v>OK</x:v>
      </x:c>
    </x:row>
    <x:row r="112">
      <x:c r="A112" s="31" t="n">
        <x:v>111</x:v>
      </x:c>
      <x:c r="B112" s="32" t="n">
        <x:v>46310.34606481482</x:v>
      </x:c>
      <x:c r="C112" s="33" t="n">
        <x:v>23.617</x:v>
      </x:c>
      <x:c r="D112" s="33" t="n">
        <x:v>207.718</x:v>
      </x:c>
      <x:c r="E112" s="33" t="n">
        <x:v>79.813</x:v>
      </x:c>
      <x:c r="F112" s="31" t="str"/>
      <x:c r="G112" s="31" t="str">
        <x:f>IF(C112="","NO DATA",IF(C112&gt;=30,"ALERT","NORMAL"))</x:f>
        <x:v>NORMAL</x:v>
      </x:c>
      <x:c r="H112" s="31" t="str">
        <x:f>IF(C112="","MISSING",IF(C112&gt;=30,"HIGH TEMP","OK"))</x:f>
        <x:v>OK</x:v>
      </x:c>
      <x:c r="I112" s="31" t="str">
        <x:f>IF(E112="","NO DATA",IF(E112&lt;20,"LOW FLOW","OK"))</x:f>
        <x:v>OK</x:v>
      </x:c>
      <x:c r="J112" s="31" t="str">
        <x:f>IF(OR(C112="",D112="",E112=""),"MISSING",IF(OR(C112&lt;0,C112&gt;60,D112&lt;50,D112&gt;400,E112&lt;0,E112&gt;200),"REVIEW","OK"))</x:f>
        <x:v>OK</x:v>
      </x:c>
    </x:row>
    <x:row r="113">
      <x:c r="A113" s="31" t="n">
        <x:v>112</x:v>
      </x:c>
      <x:c r="B113" s="32" t="n">
        <x:v>46310.346180555556</x:v>
      </x:c>
      <x:c r="C113" s="33" t="n">
        <x:v>23.401</x:v>
      </x:c>
      <x:c r="D113" s="33" t="n">
        <x:v>209.416</x:v>
      </x:c>
      <x:c r="E113" s="33" t="n">
        <x:v>80.025</x:v>
      </x:c>
      <x:c r="F113" s="31" t="str"/>
      <x:c r="G113" s="31" t="str">
        <x:f>IF(C113="","NO DATA",IF(C113&gt;=30,"ALERT","NORMAL"))</x:f>
        <x:v>NORMAL</x:v>
      </x:c>
      <x:c r="H113" s="31" t="str">
        <x:f>IF(C113="","MISSING",IF(C113&gt;=30,"HIGH TEMP","OK"))</x:f>
        <x:v>OK</x:v>
      </x:c>
      <x:c r="I113" s="31" t="str">
        <x:f>IF(E113="","NO DATA",IF(E113&lt;20,"LOW FLOW","OK"))</x:f>
        <x:v>OK</x:v>
      </x:c>
      <x:c r="J113" s="31" t="str">
        <x:f>IF(OR(C113="",D113="",E113=""),"MISSING",IF(OR(C113&lt;0,C113&gt;60,D113&lt;50,D113&gt;400,E113&lt;0,E113&gt;200),"REVIEW","OK"))</x:f>
        <x:v>OK</x:v>
      </x:c>
    </x:row>
    <x:row r="114">
      <x:c r="A114" s="31" t="n">
        <x:v>113</x:v>
      </x:c>
      <x:c r="B114" s="32" t="n">
        <x:v>46310.346296296295</x:v>
      </x:c>
      <x:c r="C114" s="33" t="n">
        <x:v>23.43</x:v>
      </x:c>
      <x:c r="D114" s="33" t="n">
        <x:v>209.134</x:v>
      </x:c>
      <x:c r="E114" s="33" t="n">
        <x:v>79.117</x:v>
      </x:c>
      <x:c r="F114" s="31" t="str"/>
      <x:c r="G114" s="31" t="str">
        <x:f>IF(C114="","NO DATA",IF(C114&gt;=30,"ALERT","NORMAL"))</x:f>
        <x:v>NORMAL</x:v>
      </x:c>
      <x:c r="H114" s="31" t="str">
        <x:f>IF(C114="","MISSING",IF(C114&gt;=30,"HIGH TEMP","OK"))</x:f>
        <x:v>OK</x:v>
      </x:c>
      <x:c r="I114" s="31" t="str">
        <x:f>IF(E114="","NO DATA",IF(E114&lt;20,"LOW FLOW","OK"))</x:f>
        <x:v>OK</x:v>
      </x:c>
      <x:c r="J114" s="31" t="str">
        <x:f>IF(OR(C114="",D114="",E114=""),"MISSING",IF(OR(C114&lt;0,C114&gt;60,D114&lt;50,D114&gt;400,E114&lt;0,E114&gt;200),"REVIEW","OK"))</x:f>
        <x:v>OK</x:v>
      </x:c>
    </x:row>
    <x:row r="115">
      <x:c r="A115" s="31" t="n">
        <x:v>114</x:v>
      </x:c>
      <x:c r="B115" s="32" t="n">
        <x:v>46310.34641203703</x:v>
      </x:c>
      <x:c r="C115" s="33" t="n">
        <x:v>23.451</x:v>
      </x:c>
      <x:c r="D115" s="33" t="n">
        <x:v>208.956</x:v>
      </x:c>
      <x:c r="E115" s="33" t="n">
        <x:v>78.612</x:v>
      </x:c>
      <x:c r="F115" s="31" t="str"/>
      <x:c r="G115" s="31" t="str">
        <x:f>IF(C115="","NO DATA",IF(C115&gt;=30,"ALERT","NORMAL"))</x:f>
        <x:v>NORMAL</x:v>
      </x:c>
      <x:c r="H115" s="31" t="str">
        <x:f>IF(C115="","MISSING",IF(C115&gt;=30,"HIGH TEMP","OK"))</x:f>
        <x:v>OK</x:v>
      </x:c>
      <x:c r="I115" s="31" t="str">
        <x:f>IF(E115="","NO DATA",IF(E115&lt;20,"LOW FLOW","OK"))</x:f>
        <x:v>OK</x:v>
      </x:c>
      <x:c r="J115" s="31" t="str">
        <x:f>IF(OR(C115="",D115="",E115=""),"MISSING",IF(OR(C115&lt;0,C115&gt;60,D115&lt;50,D115&gt;400,E115&lt;0,E115&gt;200),"REVIEW","OK"))</x:f>
        <x:v>OK</x:v>
      </x:c>
    </x:row>
    <x:row r="116">
      <x:c r="A116" s="31" t="n">
        <x:v>115</x:v>
      </x:c>
      <x:c r="B116" s="32" t="n">
        <x:v>46310.34652777778</x:v>
      </x:c>
      <x:c r="C116" s="33" t="n">
        <x:v>23.363</x:v>
      </x:c>
      <x:c r="D116" s="33" t="n">
        <x:v>207.037</x:v>
      </x:c>
      <x:c r="E116" s="33" t="n">
        <x:v>78.912</x:v>
      </x:c>
      <x:c r="F116" s="31" t="str"/>
      <x:c r="G116" s="31" t="str">
        <x:f>IF(C116="","NO DATA",IF(C116&gt;=30,"ALERT","NORMAL"))</x:f>
        <x:v>NORMAL</x:v>
      </x:c>
      <x:c r="H116" s="31" t="str">
        <x:f>IF(C116="","MISSING",IF(C116&gt;=30,"HIGH TEMP","OK"))</x:f>
        <x:v>OK</x:v>
      </x:c>
      <x:c r="I116" s="31" t="str">
        <x:f>IF(E116="","NO DATA",IF(E116&lt;20,"LOW FLOW","OK"))</x:f>
        <x:v>OK</x:v>
      </x:c>
      <x:c r="J116" s="31" t="str">
        <x:f>IF(OR(C116="",D116="",E116=""),"MISSING",IF(OR(C116&lt;0,C116&gt;60,D116&lt;50,D116&gt;400,E116&lt;0,E116&gt;200),"REVIEW","OK"))</x:f>
        <x:v>OK</x:v>
      </x:c>
    </x:row>
    <x:row r="117">
      <x:c r="A117" s="31" t="n">
        <x:v>116</x:v>
      </x:c>
      <x:c r="B117" s="32" t="n">
        <x:v>46310.34664351852</x:v>
      </x:c>
      <x:c r="C117" s="33" t="n">
        <x:v>23.612</x:v>
      </x:c>
      <x:c r="D117" s="33" t="n">
        <x:v>209.249</x:v>
      </x:c>
      <x:c r="E117" s="33" t="n">
        <x:v>78.859</x:v>
      </x:c>
      <x:c r="F117" s="31" t="str"/>
      <x:c r="G117" s="31" t="str">
        <x:f>IF(C117="","NO DATA",IF(C117&gt;=30,"ALERT","NORMAL"))</x:f>
        <x:v>NORMAL</x:v>
      </x:c>
      <x:c r="H117" s="31" t="str">
        <x:f>IF(C117="","MISSING",IF(C117&gt;=30,"HIGH TEMP","OK"))</x:f>
        <x:v>OK</x:v>
      </x:c>
      <x:c r="I117" s="31" t="str">
        <x:f>IF(E117="","NO DATA",IF(E117&lt;20,"LOW FLOW","OK"))</x:f>
        <x:v>OK</x:v>
      </x:c>
      <x:c r="J117" s="31" t="str">
        <x:f>IF(OR(C117="",D117="",E117=""),"MISSING",IF(OR(C117&lt;0,C117&gt;60,D117&lt;50,D117&gt;400,E117&lt;0,E117&gt;200),"REVIEW","OK"))</x:f>
        <x:v>OK</x:v>
      </x:c>
    </x:row>
    <x:row r="118">
      <x:c r="A118" s="31" t="n">
        <x:v>117</x:v>
      </x:c>
      <x:c r="B118" s="32" t="n">
        <x:v>46310.34675925926</x:v>
      </x:c>
      <x:c r="C118" s="33" t="n">
        <x:v>23.544</x:v>
      </x:c>
      <x:c r="D118" s="33" t="n">
        <x:v>207.439</x:v>
      </x:c>
      <x:c r="E118" s="33" t="n">
        <x:v>80.614</x:v>
      </x:c>
      <x:c r="F118" s="31" t="str"/>
      <x:c r="G118" s="31" t="str">
        <x:f>IF(C118="","NO DATA",IF(C118&gt;=30,"ALERT","NORMAL"))</x:f>
        <x:v>NORMAL</x:v>
      </x:c>
      <x:c r="H118" s="31" t="str">
        <x:f>IF(C118="","MISSING",IF(C118&gt;=30,"HIGH TEMP","OK"))</x:f>
        <x:v>OK</x:v>
      </x:c>
      <x:c r="I118" s="31" t="str">
        <x:f>IF(E118="","NO DATA",IF(E118&lt;20,"LOW FLOW","OK"))</x:f>
        <x:v>OK</x:v>
      </x:c>
      <x:c r="J118" s="31" t="str">
        <x:f>IF(OR(C118="",D118="",E118=""),"MISSING",IF(OR(C118&lt;0,C118&gt;60,D118&lt;50,D118&gt;400,E118&lt;0,E118&gt;200),"REVIEW","OK"))</x:f>
        <x:v>OK</x:v>
      </x:c>
    </x:row>
    <x:row r="119">
      <x:c r="A119" s="31" t="n">
        <x:v>118</x:v>
      </x:c>
      <x:c r="B119" s="32" t="n">
        <x:v>46310.346875</x:v>
      </x:c>
      <x:c r="C119" s="33" t="n">
        <x:v>23.511</x:v>
      </x:c>
      <x:c r="D119" s="33" t="n">
        <x:v>208.953</x:v>
      </x:c>
      <x:c r="E119" s="33" t="n">
        <x:v>78.611</x:v>
      </x:c>
      <x:c r="F119" s="31" t="str"/>
      <x:c r="G119" s="31" t="str">
        <x:f>IF(C119="","NO DATA",IF(C119&gt;=30,"ALERT","NORMAL"))</x:f>
        <x:v>NORMAL</x:v>
      </x:c>
      <x:c r="H119" s="31" t="str">
        <x:f>IF(C119="","MISSING",IF(C119&gt;=30,"HIGH TEMP","OK"))</x:f>
        <x:v>OK</x:v>
      </x:c>
      <x:c r="I119" s="31" t="str">
        <x:f>IF(E119="","NO DATA",IF(E119&lt;20,"LOW FLOW","OK"))</x:f>
        <x:v>OK</x:v>
      </x:c>
      <x:c r="J119" s="31" t="str">
        <x:f>IF(OR(C119="",D119="",E119=""),"MISSING",IF(OR(C119&lt;0,C119&gt;60,D119&lt;50,D119&gt;400,E119&lt;0,E119&gt;200),"REVIEW","OK"))</x:f>
        <x:v>OK</x:v>
      </x:c>
    </x:row>
    <x:row r="120">
      <x:c r="A120" s="31" t="n">
        <x:v>119</x:v>
      </x:c>
      <x:c r="B120" s="32" t="n">
        <x:v>46310.34699074074</x:v>
      </x:c>
      <x:c r="C120" s="33" t="n">
        <x:v>23.641</x:v>
      </x:c>
      <x:c r="D120" s="33" t="n">
        <x:v>206.568</x:v>
      </x:c>
      <x:c r="E120" s="33" t="n">
        <x:v>80.724</x:v>
      </x:c>
      <x:c r="F120" s="31" t="str"/>
      <x:c r="G120" s="31" t="str">
        <x:f>IF(C120="","NO DATA",IF(C120&gt;=30,"ALERT","NORMAL"))</x:f>
        <x:v>NORMAL</x:v>
      </x:c>
      <x:c r="H120" s="31" t="str">
        <x:f>IF(C120="","MISSING",IF(C120&gt;=30,"HIGH TEMP","OK"))</x:f>
        <x:v>OK</x:v>
      </x:c>
      <x:c r="I120" s="31" t="str">
        <x:f>IF(E120="","NO DATA",IF(E120&lt;20,"LOW FLOW","OK"))</x:f>
        <x:v>OK</x:v>
      </x:c>
      <x:c r="J120" s="31" t="str">
        <x:f>IF(OR(C120="",D120="",E120=""),"MISSING",IF(OR(C120&lt;0,C120&gt;60,D120&lt;50,D120&gt;400,E120&lt;0,E120&gt;200),"REVIEW","OK"))</x:f>
        <x:v>OK</x:v>
      </x:c>
    </x:row>
    <x:row r="121">
      <x:c r="A121" s="31" t="n">
        <x:v>120</x:v>
      </x:c>
      <x:c r="B121" s="32" t="n">
        <x:v>46310.34710648148</x:v>
      </x:c>
      <x:c r="C121" s="33" t="n">
        <x:v>23.43</x:v>
      </x:c>
      <x:c r="D121" s="33" t="n">
        <x:v>206.257</x:v>
      </x:c>
      <x:c r="E121" s="33" t="n">
        <x:v>79.542</x:v>
      </x:c>
      <x:c r="F121" s="31" t="str"/>
      <x:c r="G121" s="31" t="str">
        <x:f>IF(C121="","NO DATA",IF(C121&gt;=30,"ALERT","NORMAL"))</x:f>
        <x:v>NORMAL</x:v>
      </x:c>
      <x:c r="H121" s="31" t="str">
        <x:f>IF(C121="","MISSING",IF(C121&gt;=30,"HIGH TEMP","OK"))</x:f>
        <x:v>OK</x:v>
      </x:c>
      <x:c r="I121" s="31" t="str">
        <x:f>IF(E121="","NO DATA",IF(E121&lt;20,"LOW FLOW","OK"))</x:f>
        <x:v>OK</x:v>
      </x:c>
      <x:c r="J121" s="31" t="str">
        <x:f>IF(OR(C121="",D121="",E121=""),"MISSING",IF(OR(C121&lt;0,C121&gt;60,D121&lt;50,D121&gt;400,E121&lt;0,E121&gt;200),"REVIEW","OK"))</x:f>
        <x:v>OK</x:v>
      </x:c>
    </x:row>
    <x:row r="122">
      <x:c r="A122" s="31" t="n">
        <x:v>121</x:v>
      </x:c>
      <x:c r="B122" s="32" t="n">
        <x:v>46310.34722222222</x:v>
      </x:c>
      <x:c r="C122" s="33" t="n">
        <x:v>23.57</x:v>
      </x:c>
      <x:c r="D122" s="33" t="n">
        <x:v>206.775</x:v>
      </x:c>
      <x:c r="E122" s="33" t="n">
        <x:v>80.044</x:v>
      </x:c>
      <x:c r="F122" s="31" t="str"/>
      <x:c r="G122" s="31" t="str">
        <x:f>IF(C122="","NO DATA",IF(C122&gt;=30,"ALERT","NORMAL"))</x:f>
        <x:v>NORMAL</x:v>
      </x:c>
      <x:c r="H122" s="31" t="str">
        <x:f>IF(C122="","MISSING",IF(C122&gt;=30,"HIGH TEMP","OK"))</x:f>
        <x:v>OK</x:v>
      </x:c>
      <x:c r="I122" s="31" t="str">
        <x:f>IF(E122="","NO DATA",IF(E122&lt;20,"LOW FLOW","OK"))</x:f>
        <x:v>OK</x:v>
      </x:c>
      <x:c r="J122" s="31" t="str">
        <x:f>IF(OR(C122="",D122="",E122=""),"MISSING",IF(OR(C122&lt;0,C122&gt;60,D122&lt;50,D122&gt;400,E122&lt;0,E122&gt;200),"REVIEW","OK"))</x:f>
        <x:v>OK</x:v>
      </x:c>
    </x:row>
    <x:row r="123">
      <x:c r="A123" s="31" t="n">
        <x:v>122</x:v>
      </x:c>
      <x:c r="B123" s="32" t="n">
        <x:v>46310.347337962965</x:v>
      </x:c>
      <x:c r="C123" s="33" t="n">
        <x:v>23.507</x:v>
      </x:c>
      <x:c r="D123" s="33" t="n">
        <x:v>206.895</x:v>
      </x:c>
      <x:c r="E123" s="33" t="n">
        <x:v>80.067</x:v>
      </x:c>
      <x:c r="F123" s="31" t="str"/>
      <x:c r="G123" s="31" t="str">
        <x:f>IF(C123="","NO DATA",IF(C123&gt;=30,"ALERT","NORMAL"))</x:f>
        <x:v>NORMAL</x:v>
      </x:c>
      <x:c r="H123" s="31" t="str">
        <x:f>IF(C123="","MISSING",IF(C123&gt;=30,"HIGH TEMP","OK"))</x:f>
        <x:v>OK</x:v>
      </x:c>
      <x:c r="I123" s="31" t="str">
        <x:f>IF(E123="","NO DATA",IF(E123&lt;20,"LOW FLOW","OK"))</x:f>
        <x:v>OK</x:v>
      </x:c>
      <x:c r="J123" s="31" t="str">
        <x:f>IF(OR(C123="",D123="",E123=""),"MISSING",IF(OR(C123&lt;0,C123&gt;60,D123&lt;50,D123&gt;400,E123&lt;0,E123&gt;200),"REVIEW","OK"))</x:f>
        <x:v>OK</x:v>
      </x:c>
    </x:row>
    <x:row r="124">
      <x:c r="A124" s="31" t="n">
        <x:v>123</x:v>
      </x:c>
      <x:c r="B124" s="32" t="n">
        <x:v>46310.347453703704</x:v>
      </x:c>
      <x:c r="C124" s="33" t="n">
        <x:v>23.433</x:v>
      </x:c>
      <x:c r="D124" s="33" t="n">
        <x:v>207.774</x:v>
      </x:c>
      <x:c r="E124" s="33" t="n">
        <x:v>78.786</x:v>
      </x:c>
      <x:c r="F124" s="31" t="str"/>
      <x:c r="G124" s="31" t="str">
        <x:f>IF(C124="","NO DATA",IF(C124&gt;=30,"ALERT","NORMAL"))</x:f>
        <x:v>NORMAL</x:v>
      </x:c>
      <x:c r="H124" s="31" t="str">
        <x:f>IF(C124="","MISSING",IF(C124&gt;=30,"HIGH TEMP","OK"))</x:f>
        <x:v>OK</x:v>
      </x:c>
      <x:c r="I124" s="31" t="str">
        <x:f>IF(E124="","NO DATA",IF(E124&lt;20,"LOW FLOW","OK"))</x:f>
        <x:v>OK</x:v>
      </x:c>
      <x:c r="J124" s="31" t="str">
        <x:f>IF(OR(C124="",D124="",E124=""),"MISSING",IF(OR(C124&lt;0,C124&gt;60,D124&lt;50,D124&gt;400,E124&lt;0,E124&gt;200),"REVIEW","OK"))</x:f>
        <x:v>OK</x:v>
      </x:c>
    </x:row>
    <x:row r="125">
      <x:c r="A125" s="31" t="n">
        <x:v>124</x:v>
      </x:c>
      <x:c r="B125" s="32" t="n">
        <x:v>46310.34756944444</x:v>
      </x:c>
      <x:c r="C125" s="33" t="n">
        <x:v>23.638</x:v>
      </x:c>
      <x:c r="D125" s="33" t="n">
        <x:v>207.174</x:v>
      </x:c>
      <x:c r="E125" s="33" t="n">
        <x:v>80.612</x:v>
      </x:c>
      <x:c r="F125" s="31" t="str"/>
      <x:c r="G125" s="31" t="str">
        <x:f>IF(C125="","NO DATA",IF(C125&gt;=30,"ALERT","NORMAL"))</x:f>
        <x:v>NORMAL</x:v>
      </x:c>
      <x:c r="H125" s="31" t="str">
        <x:f>IF(C125="","MISSING",IF(C125&gt;=30,"HIGH TEMP","OK"))</x:f>
        <x:v>OK</x:v>
      </x:c>
      <x:c r="I125" s="31" t="str">
        <x:f>IF(E125="","NO DATA",IF(E125&lt;20,"LOW FLOW","OK"))</x:f>
        <x:v>OK</x:v>
      </x:c>
      <x:c r="J125" s="31" t="str">
        <x:f>IF(OR(C125="",D125="",E125=""),"MISSING",IF(OR(C125&lt;0,C125&gt;60,D125&lt;50,D125&gt;400,E125&lt;0,E125&gt;200),"REVIEW","OK"))</x:f>
        <x:v>OK</x:v>
      </x:c>
    </x:row>
    <x:row r="126">
      <x:c r="A126" s="31" t="n">
        <x:v>125</x:v>
      </x:c>
      <x:c r="B126" s="32" t="n">
        <x:v>46310.34768518519</x:v>
      </x:c>
      <x:c r="C126" s="33" t="n">
        <x:v>23.588</x:v>
      </x:c>
      <x:c r="D126" s="33" t="n">
        <x:v>207.485</x:v>
      </x:c>
      <x:c r="E126" s="33" t="n">
        <x:v>79.866</x:v>
      </x:c>
      <x:c r="F126" s="31" t="str"/>
      <x:c r="G126" s="31" t="str">
        <x:f>IF(C126="","NO DATA",IF(C126&gt;=30,"ALERT","NORMAL"))</x:f>
        <x:v>NORMAL</x:v>
      </x:c>
      <x:c r="H126" s="31" t="str">
        <x:f>IF(C126="","MISSING",IF(C126&gt;=30,"HIGH TEMP","OK"))</x:f>
        <x:v>OK</x:v>
      </x:c>
      <x:c r="I126" s="31" t="str">
        <x:f>IF(E126="","NO DATA",IF(E126&lt;20,"LOW FLOW","OK"))</x:f>
        <x:v>OK</x:v>
      </x:c>
      <x:c r="J126" s="31" t="str">
        <x:f>IF(OR(C126="",D126="",E126=""),"MISSING",IF(OR(C126&lt;0,C126&gt;60,D126&lt;50,D126&gt;400,E126&lt;0,E126&gt;200),"REVIEW","OK"))</x:f>
        <x:v>OK</x:v>
      </x:c>
    </x:row>
    <x:row r="127">
      <x:c r="A127" s="31" t="n">
        <x:v>126</x:v>
      </x:c>
      <x:c r="B127" s="32" t="n">
        <x:v>46310.34780092593</x:v>
      </x:c>
      <x:c r="C127" s="33" t="n">
        <x:v>23.392</x:v>
      </x:c>
      <x:c r="D127" s="33" t="n">
        <x:v>207.383</x:v>
      </x:c>
      <x:c r="E127" s="33" t="n">
        <x:v>79.895</x:v>
      </x:c>
      <x:c r="F127" s="31" t="str"/>
      <x:c r="G127" s="31" t="str">
        <x:f>IF(C127="","NO DATA",IF(C127&gt;=30,"ALERT","NORMAL"))</x:f>
        <x:v>NORMAL</x:v>
      </x:c>
      <x:c r="H127" s="31" t="str">
        <x:f>IF(C127="","MISSING",IF(C127&gt;=30,"HIGH TEMP","OK"))</x:f>
        <x:v>OK</x:v>
      </x:c>
      <x:c r="I127" s="31" t="str">
        <x:f>IF(E127="","NO DATA",IF(E127&lt;20,"LOW FLOW","OK"))</x:f>
        <x:v>OK</x:v>
      </x:c>
      <x:c r="J127" s="31" t="str">
        <x:f>IF(OR(C127="",D127="",E127=""),"MISSING",IF(OR(C127&lt;0,C127&gt;60,D127&lt;50,D127&gt;400,E127&lt;0,E127&gt;200),"REVIEW","OK"))</x:f>
        <x:v>OK</x:v>
      </x:c>
    </x:row>
    <x:row r="128">
      <x:c r="A128" s="31" t="n">
        <x:v>127</x:v>
      </x:c>
      <x:c r="B128" s="32" t="n">
        <x:v>46310.347916666666</x:v>
      </x:c>
      <x:c r="C128" s="33" t="n">
        <x:v>23.471</x:v>
      </x:c>
      <x:c r="D128" s="33" t="n">
        <x:v>207.855</x:v>
      </x:c>
      <x:c r="E128" s="33" t="n">
        <x:v>80.944</x:v>
      </x:c>
      <x:c r="F128" s="31" t="str"/>
      <x:c r="G128" s="31" t="str">
        <x:f>IF(C128="","NO DATA",IF(C128&gt;=30,"ALERT","NORMAL"))</x:f>
        <x:v>NORMAL</x:v>
      </x:c>
      <x:c r="H128" s="31" t="str">
        <x:f>IF(C128="","MISSING",IF(C128&gt;=30,"HIGH TEMP","OK"))</x:f>
        <x:v>OK</x:v>
      </x:c>
      <x:c r="I128" s="31" t="str">
        <x:f>IF(E128="","NO DATA",IF(E128&lt;20,"LOW FLOW","OK"))</x:f>
        <x:v>OK</x:v>
      </x:c>
      <x:c r="J128" s="31" t="str">
        <x:f>IF(OR(C128="",D128="",E128=""),"MISSING",IF(OR(C128&lt;0,C128&gt;60,D128&lt;50,D128&gt;400,E128&lt;0,E128&gt;200),"REVIEW","OK"))</x:f>
        <x:v>OK</x:v>
      </x:c>
    </x:row>
    <x:row r="129">
      <x:c r="A129" s="31" t="n">
        <x:v>128</x:v>
      </x:c>
      <x:c r="B129" s="32" t="n">
        <x:v>46310.348032407404</x:v>
      </x:c>
      <x:c r="C129" s="33" t="n">
        <x:v>23.474</x:v>
      </x:c>
      <x:c r="D129" s="33" t="n">
        <x:v>206.162</x:v>
      </x:c>
      <x:c r="E129" s="33" t="n">
        <x:v>80.314</x:v>
      </x:c>
      <x:c r="F129" s="31" t="str"/>
      <x:c r="G129" s="31" t="str">
        <x:f>IF(C129="","NO DATA",IF(C129&gt;=30,"ALERT","NORMAL"))</x:f>
        <x:v>NORMAL</x:v>
      </x:c>
      <x:c r="H129" s="31" t="str">
        <x:f>IF(C129="","MISSING",IF(C129&gt;=30,"HIGH TEMP","OK"))</x:f>
        <x:v>OK</x:v>
      </x:c>
      <x:c r="I129" s="31" t="str">
        <x:f>IF(E129="","NO DATA",IF(E129&lt;20,"LOW FLOW","OK"))</x:f>
        <x:v>OK</x:v>
      </x:c>
      <x:c r="J129" s="31" t="str">
        <x:f>IF(OR(C129="",D129="",E129=""),"MISSING",IF(OR(C129&lt;0,C129&gt;60,D129&lt;50,D129&gt;400,E129&lt;0,E129&gt;200),"REVIEW","OK"))</x:f>
        <x:v>OK</x:v>
      </x:c>
    </x:row>
    <x:row r="130">
      <x:c r="A130" s="31" t="n">
        <x:v>129</x:v>
      </x:c>
      <x:c r="B130" s="32" t="n">
        <x:v>46310.34814814815</x:v>
      </x:c>
      <x:c r="C130" s="33" t="n">
        <x:v>23.512</x:v>
      </x:c>
      <x:c r="D130" s="33" t="n">
        <x:v>206.048</x:v>
      </x:c>
      <x:c r="E130" s="33" t="n">
        <x:v>79.76</x:v>
      </x:c>
      <x:c r="F130" s="31" t="str"/>
      <x:c r="G130" s="31" t="str">
        <x:f>IF(C130="","NO DATA",IF(C130&gt;=30,"ALERT","NORMAL"))</x:f>
        <x:v>NORMAL</x:v>
      </x:c>
      <x:c r="H130" s="31" t="str">
        <x:f>IF(C130="","MISSING",IF(C130&gt;=30,"HIGH TEMP","OK"))</x:f>
        <x:v>OK</x:v>
      </x:c>
      <x:c r="I130" s="31" t="str">
        <x:f>IF(E130="","NO DATA",IF(E130&lt;20,"LOW FLOW","OK"))</x:f>
        <x:v>OK</x:v>
      </x:c>
      <x:c r="J130" s="31" t="str">
        <x:f>IF(OR(C130="",D130="",E130=""),"MISSING",IF(OR(C130&lt;0,C130&gt;60,D130&lt;50,D130&gt;400,E130&lt;0,E130&gt;200),"REVIEW","OK"))</x:f>
        <x:v>OK</x:v>
      </x:c>
    </x:row>
    <x:row r="131">
      <x:c r="A131" s="31" t="n">
        <x:v>130</x:v>
      </x:c>
      <x:c r="B131" s="32" t="n">
        <x:v>46310.34826388889</x:v>
      </x:c>
      <x:c r="C131" s="33" t="n">
        <x:v>23.525</x:v>
      </x:c>
      <x:c r="D131" s="33" t="n">
        <x:v>207.913</x:v>
      </x:c>
      <x:c r="E131" s="33" t="n">
        <x:v>81.204</x:v>
      </x:c>
      <x:c r="F131" s="31" t="str"/>
      <x:c r="G131" s="31" t="str">
        <x:f>IF(C131="","NO DATA",IF(C131&gt;=30,"ALERT","NORMAL"))</x:f>
        <x:v>NORMAL</x:v>
      </x:c>
      <x:c r="H131" s="31" t="str">
        <x:f>IF(C131="","MISSING",IF(C131&gt;=30,"HIGH TEMP","OK"))</x:f>
        <x:v>OK</x:v>
      </x:c>
      <x:c r="I131" s="31" t="str">
        <x:f>IF(E131="","NO DATA",IF(E131&lt;20,"LOW FLOW","OK"))</x:f>
        <x:v>OK</x:v>
      </x:c>
      <x:c r="J131" s="31" t="str">
        <x:f>IF(OR(C131="",D131="",E131=""),"MISSING",IF(OR(C131&lt;0,C131&gt;60,D131&lt;50,D131&gt;400,E131&lt;0,E131&gt;200),"REVIEW","OK"))</x:f>
        <x:v>OK</x:v>
      </x:c>
    </x:row>
    <x:row r="132">
      <x:c r="A132" s="31" t="n">
        <x:v>131</x:v>
      </x:c>
      <x:c r="B132" s="32" t="n">
        <x:v>46310.34837962963</x:v>
      </x:c>
      <x:c r="C132" s="33" t="n">
        <x:v>23.679</x:v>
      </x:c>
      <x:c r="D132" s="33" t="n">
        <x:v>206.873</x:v>
      </x:c>
      <x:c r="E132" s="33" t="n">
        <x:v>80.426</x:v>
      </x:c>
      <x:c r="F132" s="31" t="str"/>
      <x:c r="G132" s="31" t="str">
        <x:f>IF(C132="","NO DATA",IF(C132&gt;=30,"ALERT","NORMAL"))</x:f>
        <x:v>NORMAL</x:v>
      </x:c>
      <x:c r="H132" s="31" t="str">
        <x:f>IF(C132="","MISSING",IF(C132&gt;=30,"HIGH TEMP","OK"))</x:f>
        <x:v>OK</x:v>
      </x:c>
      <x:c r="I132" s="31" t="str">
        <x:f>IF(E132="","NO DATA",IF(E132&lt;20,"LOW FLOW","OK"))</x:f>
        <x:v>OK</x:v>
      </x:c>
      <x:c r="J132" s="31" t="str">
        <x:f>IF(OR(C132="",D132="",E132=""),"MISSING",IF(OR(C132&lt;0,C132&gt;60,D132&lt;50,D132&gt;400,E132&lt;0,E132&gt;200),"REVIEW","OK"))</x:f>
        <x:v>OK</x:v>
      </x:c>
    </x:row>
    <x:row r="133">
      <x:c r="A133" s="31" t="n">
        <x:v>132</x:v>
      </x:c>
      <x:c r="B133" s="32" t="n">
        <x:v>46310.348495370374</x:v>
      </x:c>
      <x:c r="C133" s="33" t="n">
        <x:v>23.582</x:v>
      </x:c>
      <x:c r="D133" s="33" t="n">
        <x:v>204.965</x:v>
      </x:c>
      <x:c r="E133" s="33" t="n">
        <x:v>80.52</x:v>
      </x:c>
      <x:c r="F133" s="31" t="str"/>
      <x:c r="G133" s="31" t="str">
        <x:f>IF(C133="","NO DATA",IF(C133&gt;=30,"ALERT","NORMAL"))</x:f>
        <x:v>NORMAL</x:v>
      </x:c>
      <x:c r="H133" s="31" t="str">
        <x:f>IF(C133="","MISSING",IF(C133&gt;=30,"HIGH TEMP","OK"))</x:f>
        <x:v>OK</x:v>
      </x:c>
      <x:c r="I133" s="31" t="str">
        <x:f>IF(E133="","NO DATA",IF(E133&lt;20,"LOW FLOW","OK"))</x:f>
        <x:v>OK</x:v>
      </x:c>
      <x:c r="J133" s="31" t="str">
        <x:f>IF(OR(C133="",D133="",E133=""),"MISSING",IF(OR(C133&lt;0,C133&gt;60,D133&lt;50,D133&gt;400,E133&lt;0,E133&gt;200),"REVIEW","OK"))</x:f>
        <x:v>OK</x:v>
      </x:c>
    </x:row>
    <x:row r="134">
      <x:c r="A134" s="31" t="n">
        <x:v>133</x:v>
      </x:c>
      <x:c r="B134" s="32" t="n">
        <x:v>46310.34861111111</x:v>
      </x:c>
      <x:c r="C134" s="33" t="n">
        <x:v>23.557</x:v>
      </x:c>
      <x:c r="D134" s="33" t="n">
        <x:v>206.646</x:v>
      </x:c>
      <x:c r="E134" s="33" t="n">
        <x:v>81.533</x:v>
      </x:c>
      <x:c r="F134" s="31" t="str"/>
      <x:c r="G134" s="31" t="str">
        <x:f>IF(C134="","NO DATA",IF(C134&gt;=30,"ALERT","NORMAL"))</x:f>
        <x:v>NORMAL</x:v>
      </x:c>
      <x:c r="H134" s="31" t="str">
        <x:f>IF(C134="","MISSING",IF(C134&gt;=30,"HIGH TEMP","OK"))</x:f>
        <x:v>OK</x:v>
      </x:c>
      <x:c r="I134" s="31" t="str">
        <x:f>IF(E134="","NO DATA",IF(E134&lt;20,"LOW FLOW","OK"))</x:f>
        <x:v>OK</x:v>
      </x:c>
      <x:c r="J134" s="31" t="str">
        <x:f>IF(OR(C134="",D134="",E134=""),"MISSING",IF(OR(C134&lt;0,C134&gt;60,D134&lt;50,D134&gt;400,E134&lt;0,E134&gt;200),"REVIEW","OK"))</x:f>
        <x:v>OK</x:v>
      </x:c>
    </x:row>
    <x:row r="135">
      <x:c r="A135" s="31" t="n">
        <x:v>134</x:v>
      </x:c>
      <x:c r="B135" s="32" t="n">
        <x:v>46310.34872685185</x:v>
      </x:c>
      <x:c r="C135" s="33" t="n">
        <x:v>23.579</x:v>
      </x:c>
      <x:c r="D135" s="33" t="n">
        <x:v>206.178</x:v>
      </x:c>
      <x:c r="E135" s="33" t="n">
        <x:v>80.606</x:v>
      </x:c>
      <x:c r="F135" s="31" t="str"/>
      <x:c r="G135" s="31" t="str">
        <x:f>IF(C135="","NO DATA",IF(C135&gt;=30,"ALERT","NORMAL"))</x:f>
        <x:v>NORMAL</x:v>
      </x:c>
      <x:c r="H135" s="31" t="str">
        <x:f>IF(C135="","MISSING",IF(C135&gt;=30,"HIGH TEMP","OK"))</x:f>
        <x:v>OK</x:v>
      </x:c>
      <x:c r="I135" s="31" t="str">
        <x:f>IF(E135="","NO DATA",IF(E135&lt;20,"LOW FLOW","OK"))</x:f>
        <x:v>OK</x:v>
      </x:c>
      <x:c r="J135" s="31" t="str">
        <x:f>IF(OR(C135="",D135="",E135=""),"MISSING",IF(OR(C135&lt;0,C135&gt;60,D135&lt;50,D135&gt;400,E135&lt;0,E135&gt;200),"REVIEW","OK"))</x:f>
        <x:v>OK</x:v>
      </x:c>
    </x:row>
    <x:row r="136">
      <x:c r="A136" s="31" t="n">
        <x:v>135</x:v>
      </x:c>
      <x:c r="B136" s="32" t="n">
        <x:v>46310.34884259259</x:v>
      </x:c>
      <x:c r="C136" s="33" t="n">
        <x:v>23.593</x:v>
      </x:c>
      <x:c r="D136" s="33" t="n">
        <x:v>207.504</x:v>
      </x:c>
      <x:c r="E136" s="33" t="n">
        <x:v>82.137</x:v>
      </x:c>
      <x:c r="F136" s="31" t="str"/>
      <x:c r="G136" s="31" t="str">
        <x:f>IF(C136="","NO DATA",IF(C136&gt;=30,"ALERT","NORMAL"))</x:f>
        <x:v>NORMAL</x:v>
      </x:c>
      <x:c r="H136" s="31" t="str">
        <x:f>IF(C136="","MISSING",IF(C136&gt;=30,"HIGH TEMP","OK"))</x:f>
        <x:v>OK</x:v>
      </x:c>
      <x:c r="I136" s="31" t="str">
        <x:f>IF(E136="","NO DATA",IF(E136&lt;20,"LOW FLOW","OK"))</x:f>
        <x:v>OK</x:v>
      </x:c>
      <x:c r="J136" s="31" t="str">
        <x:f>IF(OR(C136="",D136="",E136=""),"MISSING",IF(OR(C136&lt;0,C136&gt;60,D136&lt;50,D136&gt;400,E136&lt;0,E136&gt;200),"REVIEW","OK"))</x:f>
        <x:v>OK</x:v>
      </x:c>
    </x:row>
    <x:row r="137">
      <x:c r="A137" s="31" t="n">
        <x:v>136</x:v>
      </x:c>
      <x:c r="B137" s="32" t="n">
        <x:v>46310.348958333336</x:v>
      </x:c>
      <x:c r="C137" s="33" t="n">
        <x:v>23.515</x:v>
      </x:c>
      <x:c r="D137" s="33" t="n">
        <x:v>205.007</x:v>
      </x:c>
      <x:c r="E137" s="33" t="n">
        <x:v>81.598</x:v>
      </x:c>
      <x:c r="F137" s="31" t="str"/>
      <x:c r="G137" s="31" t="str">
        <x:f>IF(C137="","NO DATA",IF(C137&gt;=30,"ALERT","NORMAL"))</x:f>
        <x:v>NORMAL</x:v>
      </x:c>
      <x:c r="H137" s="31" t="str">
        <x:f>IF(C137="","MISSING",IF(C137&gt;=30,"HIGH TEMP","OK"))</x:f>
        <x:v>OK</x:v>
      </x:c>
      <x:c r="I137" s="31" t="str">
        <x:f>IF(E137="","NO DATA",IF(E137&lt;20,"LOW FLOW","OK"))</x:f>
        <x:v>OK</x:v>
      </x:c>
      <x:c r="J137" s="31" t="str">
        <x:f>IF(OR(C137="",D137="",E137=""),"MISSING",IF(OR(C137&lt;0,C137&gt;60,D137&lt;50,D137&gt;400,E137&lt;0,E137&gt;200),"REVIEW","OK"))</x:f>
        <x:v>OK</x:v>
      </x:c>
    </x:row>
    <x:row r="138">
      <x:c r="A138" s="31" t="n">
        <x:v>137</x:v>
      </x:c>
      <x:c r="B138" s="32" t="n">
        <x:v>46310.349074074074</x:v>
      </x:c>
      <x:c r="C138" s="33" t="n">
        <x:v>23.666</x:v>
      </x:c>
      <x:c r="D138" s="33" t="n">
        <x:v>205.715</x:v>
      </x:c>
      <x:c r="E138" s="33" t="n">
        <x:v>82.461</x:v>
      </x:c>
      <x:c r="F138" s="31" t="str"/>
      <x:c r="G138" s="31" t="str">
        <x:f>IF(C138="","NO DATA",IF(C138&gt;=30,"ALERT","NORMAL"))</x:f>
        <x:v>NORMAL</x:v>
      </x:c>
      <x:c r="H138" s="31" t="str">
        <x:f>IF(C138="","MISSING",IF(C138&gt;=30,"HIGH TEMP","OK"))</x:f>
        <x:v>OK</x:v>
      </x:c>
      <x:c r="I138" s="31" t="str">
        <x:f>IF(E138="","NO DATA",IF(E138&lt;20,"LOW FLOW","OK"))</x:f>
        <x:v>OK</x:v>
      </x:c>
      <x:c r="J138" s="31" t="str">
        <x:f>IF(OR(C138="",D138="",E138=""),"MISSING",IF(OR(C138&lt;0,C138&gt;60,D138&lt;50,D138&gt;400,E138&lt;0,E138&gt;200),"REVIEW","OK"))</x:f>
        <x:v>OK</x:v>
      </x:c>
    </x:row>
    <x:row r="139">
      <x:c r="A139" s="31" t="n">
        <x:v>138</x:v>
      </x:c>
      <x:c r="B139" s="32" t="n">
        <x:v>46310.34918981481</x:v>
      </x:c>
      <x:c r="C139" s="33" t="n">
        <x:v>23.716</x:v>
      </x:c>
      <x:c r="D139" s="33" t="n">
        <x:v>206.689</x:v>
      </x:c>
      <x:c r="E139" s="33" t="n">
        <x:v>81.171</x:v>
      </x:c>
      <x:c r="F139" s="31" t="str"/>
      <x:c r="G139" s="31" t="str">
        <x:f>IF(C139="","NO DATA",IF(C139&gt;=30,"ALERT","NORMAL"))</x:f>
        <x:v>NORMAL</x:v>
      </x:c>
      <x:c r="H139" s="31" t="str">
        <x:f>IF(C139="","MISSING",IF(C139&gt;=30,"HIGH TEMP","OK"))</x:f>
        <x:v>OK</x:v>
      </x:c>
      <x:c r="I139" s="31" t="str">
        <x:f>IF(E139="","NO DATA",IF(E139&lt;20,"LOW FLOW","OK"))</x:f>
        <x:v>OK</x:v>
      </x:c>
      <x:c r="J139" s="31" t="str">
        <x:f>IF(OR(C139="",D139="",E139=""),"MISSING",IF(OR(C139&lt;0,C139&gt;60,D139&lt;50,D139&gt;400,E139&lt;0,E139&gt;200),"REVIEW","OK"))</x:f>
        <x:v>OK</x:v>
      </x:c>
    </x:row>
    <x:row r="140">
      <x:c r="A140" s="31" t="n">
        <x:v>139</x:v>
      </x:c>
      <x:c r="B140" s="32" t="n">
        <x:v>46310.34930555556</x:v>
      </x:c>
      <x:c r="C140" s="33" t="n">
        <x:v>23.564</x:v>
      </x:c>
      <x:c r="D140" s="33" t="n">
        <x:v>204.709</x:v>
      </x:c>
      <x:c r="E140" s="33" t="n">
        <x:v>81.356</x:v>
      </x:c>
      <x:c r="F140" s="31" t="str"/>
      <x:c r="G140" s="31" t="str">
        <x:f>IF(C140="","NO DATA",IF(C140&gt;=30,"ALERT","NORMAL"))</x:f>
        <x:v>NORMAL</x:v>
      </x:c>
      <x:c r="H140" s="31" t="str">
        <x:f>IF(C140="","MISSING",IF(C140&gt;=30,"HIGH TEMP","OK"))</x:f>
        <x:v>OK</x:v>
      </x:c>
      <x:c r="I140" s="31" t="str">
        <x:f>IF(E140="","NO DATA",IF(E140&lt;20,"LOW FLOW","OK"))</x:f>
        <x:v>OK</x:v>
      </x:c>
      <x:c r="J140" s="31" t="str">
        <x:f>IF(OR(C140="",D140="",E140=""),"MISSING",IF(OR(C140&lt;0,C140&gt;60,D140&lt;50,D140&gt;400,E140&lt;0,E140&gt;200),"REVIEW","OK"))</x:f>
        <x:v>OK</x:v>
      </x:c>
    </x:row>
    <x:row r="141">
      <x:c r="A141" s="31" t="n">
        <x:v>140</x:v>
      </x:c>
      <x:c r="B141" s="32" t="n">
        <x:v>46310.3494212963</x:v>
      </x:c>
      <x:c r="C141" s="33" t="n">
        <x:v>23.662</x:v>
      </x:c>
      <x:c r="D141" s="33" t="n">
        <x:v>207.153</x:v>
      </x:c>
      <x:c r="E141" s="33" t="n">
        <x:v>81.08</x:v>
      </x:c>
      <x:c r="F141" s="31" t="str"/>
      <x:c r="G141" s="31" t="str">
        <x:f>IF(C141="","NO DATA",IF(C141&gt;=30,"ALERT","NORMAL"))</x:f>
        <x:v>NORMAL</x:v>
      </x:c>
      <x:c r="H141" s="31" t="str">
        <x:f>IF(C141="","MISSING",IF(C141&gt;=30,"HIGH TEMP","OK"))</x:f>
        <x:v>OK</x:v>
      </x:c>
      <x:c r="I141" s="31" t="str">
        <x:f>IF(E141="","NO DATA",IF(E141&lt;20,"LOW FLOW","OK"))</x:f>
        <x:v>OK</x:v>
      </x:c>
      <x:c r="J141" s="31" t="str">
        <x:f>IF(OR(C141="",D141="",E141=""),"MISSING",IF(OR(C141&lt;0,C141&gt;60,D141&lt;50,D141&gt;400,E141&lt;0,E141&gt;200),"REVIEW","OK"))</x:f>
        <x:v>OK</x:v>
      </x:c>
    </x:row>
    <x:row r="142">
      <x:c r="A142" s="31" t="n">
        <x:v>141</x:v>
      </x:c>
      <x:c r="B142" s="32" t="n">
        <x:v>46310.34953703704</x:v>
      </x:c>
      <x:c r="C142" s="33" t="n">
        <x:v>23.659</x:v>
      </x:c>
      <x:c r="D142" s="33" t="n">
        <x:v>206.466</x:v>
      </x:c>
      <x:c r="E142" s="33" t="n">
        <x:v>81.508</x:v>
      </x:c>
      <x:c r="F142" s="31" t="str"/>
      <x:c r="G142" s="31" t="str">
        <x:f>IF(C142="","NO DATA",IF(C142&gt;=30,"ALERT","NORMAL"))</x:f>
        <x:v>NORMAL</x:v>
      </x:c>
      <x:c r="H142" s="31" t="str">
        <x:f>IF(C142="","MISSING",IF(C142&gt;=30,"HIGH TEMP","OK"))</x:f>
        <x:v>OK</x:v>
      </x:c>
      <x:c r="I142" s="31" t="str">
        <x:f>IF(E142="","NO DATA",IF(E142&lt;20,"LOW FLOW","OK"))</x:f>
        <x:v>OK</x:v>
      </x:c>
      <x:c r="J142" s="31" t="str">
        <x:f>IF(OR(C142="",D142="",E142=""),"MISSING",IF(OR(C142&lt;0,C142&gt;60,D142&lt;50,D142&gt;400,E142&lt;0,E142&gt;200),"REVIEW","OK"))</x:f>
        <x:v>OK</x:v>
      </x:c>
    </x:row>
    <x:row r="143">
      <x:c r="A143" s="31" t="n">
        <x:v>142</x:v>
      </x:c>
      <x:c r="B143" s="32" t="n">
        <x:v>46310.349652777775</x:v>
      </x:c>
      <x:c r="C143" s="33" t="n">
        <x:v>23.759</x:v>
      </x:c>
      <x:c r="D143" s="33" t="n">
        <x:v>206.037</x:v>
      </x:c>
      <x:c r="E143" s="33" t="n">
        <x:v>81.762</x:v>
      </x:c>
      <x:c r="F143" s="31" t="str"/>
      <x:c r="G143" s="31" t="str">
        <x:f>IF(C143="","NO DATA",IF(C143&gt;=30,"ALERT","NORMAL"))</x:f>
        <x:v>NORMAL</x:v>
      </x:c>
      <x:c r="H143" s="31" t="str">
        <x:f>IF(C143="","MISSING",IF(C143&gt;=30,"HIGH TEMP","OK"))</x:f>
        <x:v>OK</x:v>
      </x:c>
      <x:c r="I143" s="31" t="str">
        <x:f>IF(E143="","NO DATA",IF(E143&lt;20,"LOW FLOW","OK"))</x:f>
        <x:v>OK</x:v>
      </x:c>
      <x:c r="J143" s="31" t="str">
        <x:f>IF(OR(C143="",D143="",E143=""),"MISSING",IF(OR(C143&lt;0,C143&gt;60,D143&lt;50,D143&gt;400,E143&lt;0,E143&gt;200),"REVIEW","OK"))</x:f>
        <x:v>OK</x:v>
      </x:c>
    </x:row>
    <x:row r="144">
      <x:c r="A144" s="31" t="n">
        <x:v>143</x:v>
      </x:c>
      <x:c r="B144" s="32" t="n">
        <x:v>46310.34976851852</x:v>
      </x:c>
      <x:c r="C144" s="33" t="n">
        <x:v>23.763</x:v>
      </x:c>
      <x:c r="D144" s="33" t="n">
        <x:v>204.551</x:v>
      </x:c>
      <x:c r="E144" s="33" t="n">
        <x:v>83.114</x:v>
      </x:c>
      <x:c r="F144" s="31" t="str"/>
      <x:c r="G144" s="31" t="str">
        <x:f>IF(C144="","NO DATA",IF(C144&gt;=30,"ALERT","NORMAL"))</x:f>
        <x:v>NORMAL</x:v>
      </x:c>
      <x:c r="H144" s="31" t="str">
        <x:f>IF(C144="","MISSING",IF(C144&gt;=30,"HIGH TEMP","OK"))</x:f>
        <x:v>OK</x:v>
      </x:c>
      <x:c r="I144" s="31" t="str">
        <x:f>IF(E144="","NO DATA",IF(E144&lt;20,"LOW FLOW","OK"))</x:f>
        <x:v>OK</x:v>
      </x:c>
      <x:c r="J144" s="31" t="str">
        <x:f>IF(OR(C144="",D144="",E144=""),"MISSING",IF(OR(C144&lt;0,C144&gt;60,D144&lt;50,D144&gt;400,E144&lt;0,E144&gt;200),"REVIEW","OK"))</x:f>
        <x:v>OK</x:v>
      </x:c>
    </x:row>
    <x:row r="145">
      <x:c r="A145" s="31" t="n">
        <x:v>144</x:v>
      </x:c>
      <x:c r="B145" s="32" t="n">
        <x:v>46310.34988425926</x:v>
      </x:c>
      <x:c r="C145" s="33" t="n">
        <x:v>23.814</x:v>
      </x:c>
      <x:c r="D145" s="33" t="n">
        <x:v>204.84</x:v>
      </x:c>
      <x:c r="E145" s="33" t="n">
        <x:v>82.466</x:v>
      </x:c>
      <x:c r="F145" s="31" t="str"/>
      <x:c r="G145" s="31" t="str">
        <x:f>IF(C145="","NO DATA",IF(C145&gt;=30,"ALERT","NORMAL"))</x:f>
        <x:v>NORMAL</x:v>
      </x:c>
      <x:c r="H145" s="31" t="str">
        <x:f>IF(C145="","MISSING",IF(C145&gt;=30,"HIGH TEMP","OK"))</x:f>
        <x:v>OK</x:v>
      </x:c>
      <x:c r="I145" s="31" t="str">
        <x:f>IF(E145="","NO DATA",IF(E145&lt;20,"LOW FLOW","OK"))</x:f>
        <x:v>OK</x:v>
      </x:c>
      <x:c r="J145" s="31" t="str">
        <x:f>IF(OR(C145="",D145="",E145=""),"MISSING",IF(OR(C145&lt;0,C145&gt;60,D145&lt;50,D145&gt;400,E145&lt;0,E145&gt;200),"REVIEW","OK"))</x:f>
        <x:v>OK</x:v>
      </x:c>
    </x:row>
    <x:row r="146">
      <x:c r="A146" s="31" t="n">
        <x:v>145</x:v>
      </x:c>
      <x:c r="B146" s="32" t="n">
        <x:v>46310.35</x:v>
      </x:c>
      <x:c r="C146" s="33" t="n">
        <x:v>23.653</x:v>
      </x:c>
      <x:c r="D146" s="33" t="n">
        <x:v>207.383</x:v>
      </x:c>
      <x:c r="E146" s="33" t="n">
        <x:v>82.821</x:v>
      </x:c>
      <x:c r="F146" s="31" t="str"/>
      <x:c r="G146" s="31" t="str">
        <x:f>IF(C146="","NO DATA",IF(C146&gt;=30,"ALERT","NORMAL"))</x:f>
        <x:v>NORMAL</x:v>
      </x:c>
      <x:c r="H146" s="31" t="str">
        <x:f>IF(C146="","MISSING",IF(C146&gt;=30,"HIGH TEMP","OK"))</x:f>
        <x:v>OK</x:v>
      </x:c>
      <x:c r="I146" s="31" t="str">
        <x:f>IF(E146="","NO DATA",IF(E146&lt;20,"LOW FLOW","OK"))</x:f>
        <x:v>OK</x:v>
      </x:c>
      <x:c r="J146" s="31" t="str">
        <x:f>IF(OR(C146="",D146="",E146=""),"MISSING",IF(OR(C146&lt;0,C146&gt;60,D146&lt;50,D146&gt;400,E146&lt;0,E146&gt;200),"REVIEW","OK"))</x:f>
        <x:v>OK</x:v>
      </x:c>
    </x:row>
    <x:row r="147">
      <x:c r="A147" s="31" t="n">
        <x:v>146</x:v>
      </x:c>
      <x:c r="B147" s="32" t="n">
        <x:v>46310.35011574074</x:v>
      </x:c>
      <x:c r="C147" s="33" t="n">
        <x:v>23.633</x:v>
      </x:c>
      <x:c r="D147" s="33" t="n">
        <x:v>205.25</x:v>
      </x:c>
      <x:c r="E147" s="33" t="n">
        <x:v>83.745</x:v>
      </x:c>
      <x:c r="F147" s="31" t="str"/>
      <x:c r="G147" s="31" t="str">
        <x:f>IF(C147="","NO DATA",IF(C147&gt;=30,"ALERT","NORMAL"))</x:f>
        <x:v>NORMAL</x:v>
      </x:c>
      <x:c r="H147" s="31" t="str">
        <x:f>IF(C147="","MISSING",IF(C147&gt;=30,"HIGH TEMP","OK"))</x:f>
        <x:v>OK</x:v>
      </x:c>
      <x:c r="I147" s="31" t="str">
        <x:f>IF(E147="","NO DATA",IF(E147&lt;20,"LOW FLOW","OK"))</x:f>
        <x:v>OK</x:v>
      </x:c>
      <x:c r="J147" s="31" t="str">
        <x:f>IF(OR(C147="",D147="",E147=""),"MISSING",IF(OR(C147&lt;0,C147&gt;60,D147&lt;50,D147&gt;400,E147&lt;0,E147&gt;200),"REVIEW","OK"))</x:f>
        <x:v>OK</x:v>
      </x:c>
    </x:row>
    <x:row r="148">
      <x:c r="A148" s="31" t="n">
        <x:v>147</x:v>
      </x:c>
      <x:c r="B148" s="32" t="n">
        <x:v>46310.35023148148</x:v>
      </x:c>
      <x:c r="C148" s="33" t="n">
        <x:v>23.773</x:v>
      </x:c>
      <x:c r="D148" s="33" t="n">
        <x:v>206.904</x:v>
      </x:c>
      <x:c r="E148" s="33" t="n">
        <x:v>83.44</x:v>
      </x:c>
      <x:c r="F148" s="31" t="str"/>
      <x:c r="G148" s="31" t="str">
        <x:f>IF(C148="","NO DATA",IF(C148&gt;=30,"ALERT","NORMAL"))</x:f>
        <x:v>NORMAL</x:v>
      </x:c>
      <x:c r="H148" s="31" t="str">
        <x:f>IF(C148="","MISSING",IF(C148&gt;=30,"HIGH TEMP","OK"))</x:f>
        <x:v>OK</x:v>
      </x:c>
      <x:c r="I148" s="31" t="str">
        <x:f>IF(E148="","NO DATA",IF(E148&lt;20,"LOW FLOW","OK"))</x:f>
        <x:v>OK</x:v>
      </x:c>
      <x:c r="J148" s="31" t="str">
        <x:f>IF(OR(C148="",D148="",E148=""),"MISSING",IF(OR(C148&lt;0,C148&gt;60,D148&lt;50,D148&gt;400,E148&lt;0,E148&gt;200),"REVIEW","OK"))</x:f>
        <x:v>OK</x:v>
      </x:c>
    </x:row>
    <x:row r="149">
      <x:c r="A149" s="31" t="n">
        <x:v>148</x:v>
      </x:c>
      <x:c r="B149" s="32" t="n">
        <x:v>46310.35034722222</x:v>
      </x:c>
      <x:c r="C149" s="33" t="n">
        <x:v>23.95</x:v>
      </x:c>
      <x:c r="D149" s="33" t="n">
        <x:v>206.288</x:v>
      </x:c>
      <x:c r="E149" s="33" t="n">
        <x:v>84.245</x:v>
      </x:c>
      <x:c r="F149" s="31" t="str"/>
      <x:c r="G149" s="31" t="str">
        <x:f>IF(C149="","NO DATA",IF(C149&gt;=30,"ALERT","NORMAL"))</x:f>
        <x:v>NORMAL</x:v>
      </x:c>
      <x:c r="H149" s="31" t="str">
        <x:f>IF(C149="","MISSING",IF(C149&gt;=30,"HIGH TEMP","OK"))</x:f>
        <x:v>OK</x:v>
      </x:c>
      <x:c r="I149" s="31" t="str">
        <x:f>IF(E149="","NO DATA",IF(E149&lt;20,"LOW FLOW","OK"))</x:f>
        <x:v>OK</x:v>
      </x:c>
      <x:c r="J149" s="31" t="str">
        <x:f>IF(OR(C149="",D149="",E149=""),"MISSING",IF(OR(C149&lt;0,C149&gt;60,D149&lt;50,D149&gt;400,E149&lt;0,E149&gt;200),"REVIEW","OK"))</x:f>
        <x:v>OK</x:v>
      </x:c>
    </x:row>
    <x:row r="150">
      <x:c r="A150" s="31" t="n">
        <x:v>149</x:v>
      </x:c>
      <x:c r="B150" s="32" t="n">
        <x:v>46310.35046296296</x:v>
      </x:c>
      <x:c r="C150" s="33" t="n">
        <x:v>23.94</x:v>
      </x:c>
      <x:c r="D150" s="33" t="n">
        <x:v>206.346</x:v>
      </x:c>
      <x:c r="E150" s="33" t="n">
        <x:v>83.815</x:v>
      </x:c>
      <x:c r="F150" s="31" t="str"/>
      <x:c r="G150" s="31" t="str">
        <x:f>IF(C150="","NO DATA",IF(C150&gt;=30,"ALERT","NORMAL"))</x:f>
        <x:v>NORMAL</x:v>
      </x:c>
      <x:c r="H150" s="31" t="str">
        <x:f>IF(C150="","MISSING",IF(C150&gt;=30,"HIGH TEMP","OK"))</x:f>
        <x:v>OK</x:v>
      </x:c>
      <x:c r="I150" s="31" t="str">
        <x:f>IF(E150="","NO DATA",IF(E150&lt;20,"LOW FLOW","OK"))</x:f>
        <x:v>OK</x:v>
      </x:c>
      <x:c r="J150" s="31" t="str">
        <x:f>IF(OR(C150="",D150="",E150=""),"MISSING",IF(OR(C150&lt;0,C150&gt;60,D150&lt;50,D150&gt;400,E150&lt;0,E150&gt;200),"REVIEW","OK"))</x:f>
        <x:v>OK</x:v>
      </x:c>
    </x:row>
    <x:row r="151">
      <x:c r="A151" s="31" t="n">
        <x:v>150</x:v>
      </x:c>
      <x:c r="B151" s="32" t="n">
        <x:v>46310.35057870371</x:v>
      </x:c>
      <x:c r="C151" s="33" t="n">
        <x:v>23.843</x:v>
      </x:c>
      <x:c r="D151" s="33" t="n">
        <x:v>207.009</x:v>
      </x:c>
      <x:c r="E151" s="33" t="n">
        <x:v>83.526</x:v>
      </x:c>
      <x:c r="F151" s="31" t="str"/>
      <x:c r="G151" s="31" t="str">
        <x:f>IF(C151="","NO DATA",IF(C151&gt;=30,"ALERT","NORMAL"))</x:f>
        <x:v>NORMAL</x:v>
      </x:c>
      <x:c r="H151" s="31" t="str">
        <x:f>IF(C151="","MISSING",IF(C151&gt;=30,"HIGH TEMP","OK"))</x:f>
        <x:v>OK</x:v>
      </x:c>
      <x:c r="I151" s="31" t="str">
        <x:f>IF(E151="","NO DATA",IF(E151&lt;20,"LOW FLOW","OK"))</x:f>
        <x:v>OK</x:v>
      </x:c>
      <x:c r="J151" s="31" t="str">
        <x:f>IF(OR(C151="",D151="",E151=""),"MISSING",IF(OR(C151&lt;0,C151&gt;60,D151&lt;50,D151&gt;400,E151&lt;0,E151&gt;200),"REVIEW","OK"))</x:f>
        <x:v>OK</x:v>
      </x:c>
    </x:row>
    <x:row r="152">
      <x:c r="A152" s="31" t="n">
        <x:v>151</x:v>
      </x:c>
      <x:c r="B152" s="32" t="n">
        <x:v>46310.350694444445</x:v>
      </x:c>
      <x:c r="C152" s="33" t="n">
        <x:v>23.979</x:v>
      </x:c>
      <x:c r="D152" s="33" t="n">
        <x:v>206.763</x:v>
      </x:c>
      <x:c r="E152" s="33" t="n">
        <x:v>83.469</x:v>
      </x:c>
      <x:c r="F152" s="31" t="str"/>
      <x:c r="G152" s="31" t="str">
        <x:f>IF(C152="","NO DATA",IF(C152&gt;=30,"ALERT","NORMAL"))</x:f>
        <x:v>NORMAL</x:v>
      </x:c>
      <x:c r="H152" s="31" t="str">
        <x:f>IF(C152="","MISSING",IF(C152&gt;=30,"HIGH TEMP","OK"))</x:f>
        <x:v>OK</x:v>
      </x:c>
      <x:c r="I152" s="31" t="str">
        <x:f>IF(E152="","NO DATA",IF(E152&lt;20,"LOW FLOW","OK"))</x:f>
        <x:v>OK</x:v>
      </x:c>
      <x:c r="J152" s="31" t="str">
        <x:f>IF(OR(C152="",D152="",E152=""),"MISSING",IF(OR(C152&lt;0,C152&gt;60,D152&lt;50,D152&gt;400,E152&lt;0,E152&gt;200),"REVIEW","OK"))</x:f>
        <x:v>OK</x:v>
      </x:c>
    </x:row>
    <x:row r="153">
      <x:c r="A153" s="31" t="n">
        <x:v>152</x:v>
      </x:c>
      <x:c r="B153" s="32" t="n">
        <x:v>46310.350810185184</x:v>
      </x:c>
      <x:c r="C153" s="33" t="n">
        <x:v>23.807</x:v>
      </x:c>
      <x:c r="D153" s="33" t="n">
        <x:v>205.292</x:v>
      </x:c>
      <x:c r="E153" s="33" t="n">
        <x:v>83.976</x:v>
      </x:c>
      <x:c r="F153" s="31" t="str"/>
      <x:c r="G153" s="31" t="str">
        <x:f>IF(C153="","NO DATA",IF(C153&gt;=30,"ALERT","NORMAL"))</x:f>
        <x:v>NORMAL</x:v>
      </x:c>
      <x:c r="H153" s="31" t="str">
        <x:f>IF(C153="","MISSING",IF(C153&gt;=30,"HIGH TEMP","OK"))</x:f>
        <x:v>OK</x:v>
      </x:c>
      <x:c r="I153" s="31" t="str">
        <x:f>IF(E153="","NO DATA",IF(E153&lt;20,"LOW FLOW","OK"))</x:f>
        <x:v>OK</x:v>
      </x:c>
      <x:c r="J153" s="31" t="str">
        <x:f>IF(OR(C153="",D153="",E153=""),"MISSING",IF(OR(C153&lt;0,C153&gt;60,D153&lt;50,D153&gt;400,E153&lt;0,E153&gt;200),"REVIEW","OK"))</x:f>
        <x:v>OK</x:v>
      </x:c>
    </x:row>
    <x:row r="154">
      <x:c r="A154" s="31" t="n">
        <x:v>153</x:v>
      </x:c>
      <x:c r="B154" s="32" t="n">
        <x:v>46310.35092592592</x:v>
      </x:c>
      <x:c r="C154" s="33" t="n">
        <x:v>23.979</x:v>
      </x:c>
      <x:c r="D154" s="33" t="n">
        <x:v>206.137</x:v>
      </x:c>
      <x:c r="E154" s="33" t="n">
        <x:v>84.062</x:v>
      </x:c>
      <x:c r="F154" s="31" t="str"/>
      <x:c r="G154" s="31" t="str">
        <x:f>IF(C154="","NO DATA",IF(C154&gt;=30,"ALERT","NORMAL"))</x:f>
        <x:v>NORMAL</x:v>
      </x:c>
      <x:c r="H154" s="31" t="str">
        <x:f>IF(C154="","MISSING",IF(C154&gt;=30,"HIGH TEMP","OK"))</x:f>
        <x:v>OK</x:v>
      </x:c>
      <x:c r="I154" s="31" t="str">
        <x:f>IF(E154="","NO DATA",IF(E154&lt;20,"LOW FLOW","OK"))</x:f>
        <x:v>OK</x:v>
      </x:c>
      <x:c r="J154" s="31" t="str">
        <x:f>IF(OR(C154="",D154="",E154=""),"MISSING",IF(OR(C154&lt;0,C154&gt;60,D154&lt;50,D154&gt;400,E154&lt;0,E154&gt;200),"REVIEW","OK"))</x:f>
        <x:v>OK</x:v>
      </x:c>
    </x:row>
    <x:row r="155">
      <x:c r="A155" s="31" t="n">
        <x:v>154</x:v>
      </x:c>
      <x:c r="B155" s="32" t="n">
        <x:v>46310.35104166667</x:v>
      </x:c>
      <x:c r="C155" s="33" t="n">
        <x:v>23.851</x:v>
      </x:c>
      <x:c r="D155" s="33" t="n">
        <x:v>204.832</x:v>
      </x:c>
      <x:c r="E155" s="33" t="n">
        <x:v>83.352</x:v>
      </x:c>
      <x:c r="F155" s="31" t="str"/>
      <x:c r="G155" s="31" t="str">
        <x:f>IF(C155="","NO DATA",IF(C155&gt;=30,"ALERT","NORMAL"))</x:f>
        <x:v>NORMAL</x:v>
      </x:c>
      <x:c r="H155" s="31" t="str">
        <x:f>IF(C155="","MISSING",IF(C155&gt;=30,"HIGH TEMP","OK"))</x:f>
        <x:v>OK</x:v>
      </x:c>
      <x:c r="I155" s="31" t="str">
        <x:f>IF(E155="","NO DATA",IF(E155&lt;20,"LOW FLOW","OK"))</x:f>
        <x:v>OK</x:v>
      </x:c>
      <x:c r="J155" s="31" t="str">
        <x:f>IF(OR(C155="",D155="",E155=""),"MISSING",IF(OR(C155&lt;0,C155&gt;60,D155&lt;50,D155&gt;400,E155&lt;0,E155&gt;200),"REVIEW","OK"))</x:f>
        <x:v>OK</x:v>
      </x:c>
    </x:row>
    <x:row r="156">
      <x:c r="A156" s="31" t="n">
        <x:v>155</x:v>
      </x:c>
      <x:c r="B156" s="32" t="n">
        <x:v>46310.35115740741</x:v>
      </x:c>
      <x:c r="C156" s="33" t="n">
        <x:v>23.87</x:v>
      </x:c>
      <x:c r="D156" s="33" t="n">
        <x:v>205.589</x:v>
      </x:c>
      <x:c r="E156" s="33" t="n">
        <x:v>84.067</x:v>
      </x:c>
      <x:c r="F156" s="31" t="str"/>
      <x:c r="G156" s="31" t="str">
        <x:f>IF(C156="","NO DATA",IF(C156&gt;=30,"ALERT","NORMAL"))</x:f>
        <x:v>NORMAL</x:v>
      </x:c>
      <x:c r="H156" s="31" t="str">
        <x:f>IF(C156="","MISSING",IF(C156&gt;=30,"HIGH TEMP","OK"))</x:f>
        <x:v>OK</x:v>
      </x:c>
      <x:c r="I156" s="31" t="str">
        <x:f>IF(E156="","NO DATA",IF(E156&lt;20,"LOW FLOW","OK"))</x:f>
        <x:v>OK</x:v>
      </x:c>
      <x:c r="J156" s="31" t="str">
        <x:f>IF(OR(C156="",D156="",E156=""),"MISSING",IF(OR(C156&lt;0,C156&gt;60,D156&lt;50,D156&gt;400,E156&lt;0,E156&gt;200),"REVIEW","OK"))</x:f>
        <x:v>OK</x:v>
      </x:c>
    </x:row>
    <x:row r="157">
      <x:c r="A157" s="31" t="n">
        <x:v>156</x:v>
      </x:c>
      <x:c r="B157" s="32" t="n">
        <x:v>46310.351273148146</x:v>
      </x:c>
      <x:c r="C157" s="33" t="n">
        <x:v>23.85</x:v>
      </x:c>
      <x:c r="D157" s="33" t="n">
        <x:v>205.358</x:v>
      </x:c>
      <x:c r="E157" s="33" t="n">
        <x:v>84.537</x:v>
      </x:c>
      <x:c r="F157" s="31" t="str"/>
      <x:c r="G157" s="31" t="str">
        <x:f>IF(C157="","NO DATA",IF(C157&gt;=30,"ALERT","NORMAL"))</x:f>
        <x:v>NORMAL</x:v>
      </x:c>
      <x:c r="H157" s="31" t="str">
        <x:f>IF(C157="","MISSING",IF(C157&gt;=30,"HIGH TEMP","OK"))</x:f>
        <x:v>OK</x:v>
      </x:c>
      <x:c r="I157" s="31" t="str">
        <x:f>IF(E157="","NO DATA",IF(E157&lt;20,"LOW FLOW","OK"))</x:f>
        <x:v>OK</x:v>
      </x:c>
      <x:c r="J157" s="31" t="str">
        <x:f>IF(OR(C157="",D157="",E157=""),"MISSING",IF(OR(C157&lt;0,C157&gt;60,D157&lt;50,D157&gt;400,E157&lt;0,E157&gt;200),"REVIEW","OK"))</x:f>
        <x:v>OK</x:v>
      </x:c>
    </x:row>
    <x:row r="158">
      <x:c r="A158" s="31" t="n">
        <x:v>157</x:v>
      </x:c>
      <x:c r="B158" s="32" t="n">
        <x:v>46310.35138888889</x:v>
      </x:c>
      <x:c r="C158" s="33" t="n">
        <x:v>24.04</x:v>
      </x:c>
      <x:c r="D158" s="33" t="n">
        <x:v>204.896</x:v>
      </x:c>
      <x:c r="E158" s="33" t="n">
        <x:v>83.946</x:v>
      </x:c>
      <x:c r="F158" s="31" t="str"/>
      <x:c r="G158" s="31" t="str">
        <x:f>IF(C158="","NO DATA",IF(C158&gt;=30,"ALERT","NORMAL"))</x:f>
        <x:v>NORMAL</x:v>
      </x:c>
      <x:c r="H158" s="31" t="str">
        <x:f>IF(C158="","MISSING",IF(C158&gt;=30,"HIGH TEMP","OK"))</x:f>
        <x:v>OK</x:v>
      </x:c>
      <x:c r="I158" s="31" t="str">
        <x:f>IF(E158="","NO DATA",IF(E158&lt;20,"LOW FLOW","OK"))</x:f>
        <x:v>OK</x:v>
      </x:c>
      <x:c r="J158" s="31" t="str">
        <x:f>IF(OR(C158="",D158="",E158=""),"MISSING",IF(OR(C158&lt;0,C158&gt;60,D158&lt;50,D158&gt;400,E158&lt;0,E158&gt;200),"REVIEW","OK"))</x:f>
        <x:v>OK</x:v>
      </x:c>
    </x:row>
    <x:row r="159">
      <x:c r="A159" s="31" t="n">
        <x:v>158</x:v>
      </x:c>
      <x:c r="B159" s="32" t="n">
        <x:v>46310.35150462963</x:v>
      </x:c>
      <x:c r="C159" s="33" t="n">
        <x:v>24.011</x:v>
      </x:c>
      <x:c r="D159" s="33" t="n">
        <x:v>205.993</x:v>
      </x:c>
      <x:c r="E159" s="33" t="n">
        <x:v>83.557</x:v>
      </x:c>
      <x:c r="F159" s="31" t="str"/>
      <x:c r="G159" s="31" t="str">
        <x:f>IF(C159="","NO DATA",IF(C159&gt;=30,"ALERT","NORMAL"))</x:f>
        <x:v>NORMAL</x:v>
      </x:c>
      <x:c r="H159" s="31" t="str">
        <x:f>IF(C159="","MISSING",IF(C159&gt;=30,"HIGH TEMP","OK"))</x:f>
        <x:v>OK</x:v>
      </x:c>
      <x:c r="I159" s="31" t="str">
        <x:f>IF(E159="","NO DATA",IF(E159&lt;20,"LOW FLOW","OK"))</x:f>
        <x:v>OK</x:v>
      </x:c>
      <x:c r="J159" s="31" t="str">
        <x:f>IF(OR(C159="",D159="",E159=""),"MISSING",IF(OR(C159&lt;0,C159&gt;60,D159&lt;50,D159&gt;400,E159&lt;0,E159&gt;200),"REVIEW","OK"))</x:f>
        <x:v>OK</x:v>
      </x:c>
    </x:row>
    <x:row r="160">
      <x:c r="A160" s="31" t="n">
        <x:v>159</x:v>
      </x:c>
      <x:c r="B160" s="32" t="n">
        <x:v>46310.35162037037</x:v>
      </x:c>
      <x:c r="C160" s="33" t="n">
        <x:v>23.994</x:v>
      </x:c>
      <x:c r="D160" s="33" t="n">
        <x:v>207.506</x:v>
      </x:c>
      <x:c r="E160" s="33" t="n">
        <x:v>84.549</x:v>
      </x:c>
      <x:c r="F160" s="31" t="str"/>
      <x:c r="G160" s="31" t="str">
        <x:f>IF(C160="","NO DATA",IF(C160&gt;=30,"ALERT","NORMAL"))</x:f>
        <x:v>NORMAL</x:v>
      </x:c>
      <x:c r="H160" s="31" t="str">
        <x:f>IF(C160="","MISSING",IF(C160&gt;=30,"HIGH TEMP","OK"))</x:f>
        <x:v>OK</x:v>
      </x:c>
      <x:c r="I160" s="31" t="str">
        <x:f>IF(E160="","NO DATA",IF(E160&lt;20,"LOW FLOW","OK"))</x:f>
        <x:v>OK</x:v>
      </x:c>
      <x:c r="J160" s="31" t="str">
        <x:f>IF(OR(C160="",D160="",E160=""),"MISSING",IF(OR(C160&lt;0,C160&gt;60,D160&lt;50,D160&gt;400,E160&lt;0,E160&gt;200),"REVIEW","OK"))</x:f>
        <x:v>OK</x:v>
      </x:c>
    </x:row>
    <x:row r="161">
      <x:c r="A161" s="31" t="n">
        <x:v>160</x:v>
      </x:c>
      <x:c r="B161" s="32" t="n">
        <x:v>46310.35173611111</x:v>
      </x:c>
      <x:c r="C161" s="33" t="n">
        <x:v>24.097</x:v>
      </x:c>
      <x:c r="D161" s="33" t="n">
        <x:v>207.412</x:v>
      </x:c>
      <x:c r="E161" s="33" t="n">
        <x:v>85.067</x:v>
      </x:c>
      <x:c r="F161" s="31" t="str"/>
      <x:c r="G161" s="31" t="str">
        <x:f>IF(C161="","NO DATA",IF(C161&gt;=30,"ALERT","NORMAL"))</x:f>
        <x:v>NORMAL</x:v>
      </x:c>
      <x:c r="H161" s="31" t="str">
        <x:f>IF(C161="","MISSING",IF(C161&gt;=30,"HIGH TEMP","OK"))</x:f>
        <x:v>OK</x:v>
      </x:c>
      <x:c r="I161" s="31" t="str">
        <x:f>IF(E161="","NO DATA",IF(E161&lt;20,"LOW FLOW","OK"))</x:f>
        <x:v>OK</x:v>
      </x:c>
      <x:c r="J161" s="31" t="str">
        <x:f>IF(OR(C161="",D161="",E161=""),"MISSING",IF(OR(C161&lt;0,C161&gt;60,D161&lt;50,D161&gt;400,E161&lt;0,E161&gt;200),"REVIEW","OK"))</x:f>
        <x:v>OK</x:v>
      </x:c>
    </x:row>
    <x:row r="162">
      <x:c r="A162" s="31" t="n">
        <x:v>161</x:v>
      </x:c>
      <x:c r="B162" s="32" t="n">
        <x:v>46310.351851851854</x:v>
      </x:c>
      <x:c r="C162" s="33" t="n">
        <x:v>24.022</x:v>
      </x:c>
      <x:c r="D162" s="33" t="n">
        <x:v>204.914</x:v>
      </x:c>
      <x:c r="E162" s="33" t="n">
        <x:v>84.152</x:v>
      </x:c>
      <x:c r="F162" s="31" t="str"/>
      <x:c r="G162" s="31" t="str">
        <x:f>IF(C162="","NO DATA",IF(C162&gt;=30,"ALERT","NORMAL"))</x:f>
        <x:v>NORMAL</x:v>
      </x:c>
      <x:c r="H162" s="31" t="str">
        <x:f>IF(C162="","MISSING",IF(C162&gt;=30,"HIGH TEMP","OK"))</x:f>
        <x:v>OK</x:v>
      </x:c>
      <x:c r="I162" s="31" t="str">
        <x:f>IF(E162="","NO DATA",IF(E162&lt;20,"LOW FLOW","OK"))</x:f>
        <x:v>OK</x:v>
      </x:c>
      <x:c r="J162" s="31" t="str">
        <x:f>IF(OR(C162="",D162="",E162=""),"MISSING",IF(OR(C162&lt;0,C162&gt;60,D162&lt;50,D162&gt;400,E162&lt;0,E162&gt;200),"REVIEW","OK"))</x:f>
        <x:v>OK</x:v>
      </x:c>
    </x:row>
    <x:row r="163">
      <x:c r="A163" s="31" t="n">
        <x:v>162</x:v>
      </x:c>
      <x:c r="B163" s="32" t="n">
        <x:v>46310.35196759259</x:v>
      </x:c>
      <x:c r="C163" s="33" t="n">
        <x:v>24.154</x:v>
      </x:c>
      <x:c r="D163" s="33" t="n">
        <x:v>207.515</x:v>
      </x:c>
      <x:c r="E163" s="33" t="n">
        <x:v>85.668</x:v>
      </x:c>
      <x:c r="F163" s="31" t="str"/>
      <x:c r="G163" s="31" t="str">
        <x:f>IF(C163="","NO DATA",IF(C163&gt;=30,"ALERT","NORMAL"))</x:f>
        <x:v>NORMAL</x:v>
      </x:c>
      <x:c r="H163" s="31" t="str">
        <x:f>IF(C163="","MISSING",IF(C163&gt;=30,"HIGH TEMP","OK"))</x:f>
        <x:v>OK</x:v>
      </x:c>
      <x:c r="I163" s="31" t="str">
        <x:f>IF(E163="","NO DATA",IF(E163&lt;20,"LOW FLOW","OK"))</x:f>
        <x:v>OK</x:v>
      </x:c>
      <x:c r="J163" s="31" t="str">
        <x:f>IF(OR(C163="",D163="",E163=""),"MISSING",IF(OR(C163&lt;0,C163&gt;60,D163&lt;50,D163&gt;400,E163&lt;0,E163&gt;200),"REVIEW","OK"))</x:f>
        <x:v>OK</x:v>
      </x:c>
    </x:row>
    <x:row r="164">
      <x:c r="A164" s="31" t="n">
        <x:v>163</x:v>
      </x:c>
      <x:c r="B164" s="32" t="n">
        <x:v>46310.35208333333</x:v>
      </x:c>
      <x:c r="C164" s="33" t="n">
        <x:v>24.073</x:v>
      </x:c>
      <x:c r="D164" s="33" t="n">
        <x:v>207.258</x:v>
      </x:c>
      <x:c r="E164" s="33" t="n">
        <x:v>84.757</x:v>
      </x:c>
      <x:c r="F164" s="31" t="str"/>
      <x:c r="G164" s="31" t="str">
        <x:f>IF(C164="","NO DATA",IF(C164&gt;=30,"ALERT","NORMAL"))</x:f>
        <x:v>NORMAL</x:v>
      </x:c>
      <x:c r="H164" s="31" t="str">
        <x:f>IF(C164="","MISSING",IF(C164&gt;=30,"HIGH TEMP","OK"))</x:f>
        <x:v>OK</x:v>
      </x:c>
      <x:c r="I164" s="31" t="str">
        <x:f>IF(E164="","NO DATA",IF(E164&lt;20,"LOW FLOW","OK"))</x:f>
        <x:v>OK</x:v>
      </x:c>
      <x:c r="J164" s="31" t="str">
        <x:f>IF(OR(C164="",D164="",E164=""),"MISSING",IF(OR(C164&lt;0,C164&gt;60,D164&lt;50,D164&gt;400,E164&lt;0,E164&gt;200),"REVIEW","OK"))</x:f>
        <x:v>OK</x:v>
      </x:c>
    </x:row>
    <x:row r="165">
      <x:c r="A165" s="31" t="n">
        <x:v>164</x:v>
      </x:c>
      <x:c r="B165" s="32" t="n">
        <x:v>46310.35219907408</x:v>
      </x:c>
      <x:c r="C165" s="33" t="n">
        <x:v>24.148</x:v>
      </x:c>
      <x:c r="D165" s="33" t="n">
        <x:v>205.743</x:v>
      </x:c>
      <x:c r="E165" s="33" t="n">
        <x:v>84.035</x:v>
      </x:c>
      <x:c r="F165" s="31" t="str"/>
      <x:c r="G165" s="31" t="str">
        <x:f>IF(C165="","NO DATA",IF(C165&gt;=30,"ALERT","NORMAL"))</x:f>
        <x:v>NORMAL</x:v>
      </x:c>
      <x:c r="H165" s="31" t="str">
        <x:f>IF(C165="","MISSING",IF(C165&gt;=30,"HIGH TEMP","OK"))</x:f>
        <x:v>OK</x:v>
      </x:c>
      <x:c r="I165" s="31" t="str">
        <x:f>IF(E165="","NO DATA",IF(E165&lt;20,"LOW FLOW","OK"))</x:f>
        <x:v>OK</x:v>
      </x:c>
      <x:c r="J165" s="31" t="str">
        <x:f>IF(OR(C165="",D165="",E165=""),"MISSING",IF(OR(C165&lt;0,C165&gt;60,D165&lt;50,D165&gt;400,E165&lt;0,E165&gt;200),"REVIEW","OK"))</x:f>
        <x:v>OK</x:v>
      </x:c>
    </x:row>
    <x:row r="166">
      <x:c r="A166" s="31" t="n">
        <x:v>165</x:v>
      </x:c>
      <x:c r="B166" s="32" t="n">
        <x:v>46310.352314814816</x:v>
      </x:c>
      <x:c r="C166" s="33" t="n">
        <x:v>24.117</x:v>
      </x:c>
      <x:c r="D166" s="33" t="n">
        <x:v>205.237</x:v>
      </x:c>
      <x:c r="E166" s="33" t="n">
        <x:v>84.371</x:v>
      </x:c>
      <x:c r="F166" s="31" t="str"/>
      <x:c r="G166" s="31" t="str">
        <x:f>IF(C166="","NO DATA",IF(C166&gt;=30,"ALERT","NORMAL"))</x:f>
        <x:v>NORMAL</x:v>
      </x:c>
      <x:c r="H166" s="31" t="str">
        <x:f>IF(C166="","MISSING",IF(C166&gt;=30,"HIGH TEMP","OK"))</x:f>
        <x:v>OK</x:v>
      </x:c>
      <x:c r="I166" s="31" t="str">
        <x:f>IF(E166="","NO DATA",IF(E166&lt;20,"LOW FLOW","OK"))</x:f>
        <x:v>OK</x:v>
      </x:c>
      <x:c r="J166" s="31" t="str">
        <x:f>IF(OR(C166="",D166="",E166=""),"MISSING",IF(OR(C166&lt;0,C166&gt;60,D166&lt;50,D166&gt;400,E166&lt;0,E166&gt;200),"REVIEW","OK"))</x:f>
        <x:v>OK</x:v>
      </x:c>
    </x:row>
    <x:row r="167">
      <x:c r="A167" s="31" t="n">
        <x:v>166</x:v>
      </x:c>
      <x:c r="B167" s="32" t="n">
        <x:v>46310.352430555555</x:v>
      </x:c>
      <x:c r="C167" s="33" t="n">
        <x:v>24.21</x:v>
      </x:c>
      <x:c r="D167" s="33" t="n">
        <x:v>206.435</x:v>
      </x:c>
      <x:c r="E167" s="33" t="n">
        <x:v>84.01</x:v>
      </x:c>
      <x:c r="F167" s="31" t="str"/>
      <x:c r="G167" s="31" t="str">
        <x:f>IF(C167="","NO DATA",IF(C167&gt;=30,"ALERT","NORMAL"))</x:f>
        <x:v>NORMAL</x:v>
      </x:c>
      <x:c r="H167" s="31" t="str">
        <x:f>IF(C167="","MISSING",IF(C167&gt;=30,"HIGH TEMP","OK"))</x:f>
        <x:v>OK</x:v>
      </x:c>
      <x:c r="I167" s="31" t="str">
        <x:f>IF(E167="","NO DATA",IF(E167&lt;20,"LOW FLOW","OK"))</x:f>
        <x:v>OK</x:v>
      </x:c>
      <x:c r="J167" s="31" t="str">
        <x:f>IF(OR(C167="",D167="",E167=""),"MISSING",IF(OR(C167&lt;0,C167&gt;60,D167&lt;50,D167&gt;400,E167&lt;0,E167&gt;200),"REVIEW","OK"))</x:f>
        <x:v>OK</x:v>
      </x:c>
    </x:row>
    <x:row r="168">
      <x:c r="A168" s="31" t="n">
        <x:v>167</x:v>
      </x:c>
      <x:c r="B168" s="32" t="n">
        <x:v>46310.35254629629</x:v>
      </x:c>
      <x:c r="C168" s="33" t="n">
        <x:v>24.165</x:v>
      </x:c>
      <x:c r="D168" s="33" t="n">
        <x:v>205.68</x:v>
      </x:c>
      <x:c r="E168" s="33" t="n">
        <x:v>85.152</x:v>
      </x:c>
      <x:c r="F168" s="31" t="str"/>
      <x:c r="G168" s="31" t="str">
        <x:f>IF(C168="","NO DATA",IF(C168&gt;=30,"ALERT","NORMAL"))</x:f>
        <x:v>NORMAL</x:v>
      </x:c>
      <x:c r="H168" s="31" t="str">
        <x:f>IF(C168="","MISSING",IF(C168&gt;=30,"HIGH TEMP","OK"))</x:f>
        <x:v>OK</x:v>
      </x:c>
      <x:c r="I168" s="31" t="str">
        <x:f>IF(E168="","NO DATA",IF(E168&lt;20,"LOW FLOW","OK"))</x:f>
        <x:v>OK</x:v>
      </x:c>
      <x:c r="J168" s="31" t="str">
        <x:f>IF(OR(C168="",D168="",E168=""),"MISSING",IF(OR(C168&lt;0,C168&gt;60,D168&lt;50,D168&gt;400,E168&lt;0,E168&gt;200),"REVIEW","OK"))</x:f>
        <x:v>OK</x:v>
      </x:c>
    </x:row>
    <x:row r="169">
      <x:c r="A169" s="31" t="n">
        <x:v>168</x:v>
      </x:c>
      <x:c r="B169" s="32" t="n">
        <x:v>46310.35266203704</x:v>
      </x:c>
      <x:c r="C169" s="33" t="n">
        <x:v>24.051</x:v>
      </x:c>
      <x:c r="D169" s="33" t="n">
        <x:v>206.559</x:v>
      </x:c>
      <x:c r="E169" s="33" t="n">
        <x:v>85.051</x:v>
      </x:c>
      <x:c r="F169" s="31" t="str"/>
      <x:c r="G169" s="31" t="str">
        <x:f>IF(C169="","NO DATA",IF(C169&gt;=30,"ALERT","NORMAL"))</x:f>
        <x:v>NORMAL</x:v>
      </x:c>
      <x:c r="H169" s="31" t="str">
        <x:f>IF(C169="","MISSING",IF(C169&gt;=30,"HIGH TEMP","OK"))</x:f>
        <x:v>OK</x:v>
      </x:c>
      <x:c r="I169" s="31" t="str">
        <x:f>IF(E169="","NO DATA",IF(E169&lt;20,"LOW FLOW","OK"))</x:f>
        <x:v>OK</x:v>
      </x:c>
      <x:c r="J169" s="31" t="str">
        <x:f>IF(OR(C169="",D169="",E169=""),"MISSING",IF(OR(C169&lt;0,C169&gt;60,D169&lt;50,D169&gt;400,E169&lt;0,E169&gt;200),"REVIEW","OK"))</x:f>
        <x:v>OK</x:v>
      </x:c>
    </x:row>
    <x:row r="170">
      <x:c r="A170" s="31" t="n">
        <x:v>169</x:v>
      </x:c>
      <x:c r="B170" s="32" t="n">
        <x:v>46310.35277777778</x:v>
      </x:c>
      <x:c r="C170" s="33" t="n">
        <x:v>24.07</x:v>
      </x:c>
      <x:c r="D170" s="33" t="n">
        <x:v>207.387</x:v>
      </x:c>
      <x:c r="E170" s="33" t="n">
        <x:v>84.055</x:v>
      </x:c>
      <x:c r="F170" s="31" t="str"/>
      <x:c r="G170" s="31" t="str">
        <x:f>IF(C170="","NO DATA",IF(C170&gt;=30,"ALERT","NORMAL"))</x:f>
        <x:v>NORMAL</x:v>
      </x:c>
      <x:c r="H170" s="31" t="str">
        <x:f>IF(C170="","MISSING",IF(C170&gt;=30,"HIGH TEMP","OK"))</x:f>
        <x:v>OK</x:v>
      </x:c>
      <x:c r="I170" s="31" t="str">
        <x:f>IF(E170="","NO DATA",IF(E170&lt;20,"LOW FLOW","OK"))</x:f>
        <x:v>OK</x:v>
      </x:c>
      <x:c r="J170" s="31" t="str">
        <x:f>IF(OR(C170="",D170="",E170=""),"MISSING",IF(OR(C170&lt;0,C170&gt;60,D170&lt;50,D170&gt;400,E170&lt;0,E170&gt;200),"REVIEW","OK"))</x:f>
        <x:v>OK</x:v>
      </x:c>
    </x:row>
    <x:row r="171">
      <x:c r="A171" s="31" t="n">
        <x:v>170</x:v>
      </x:c>
      <x:c r="B171" s="32" t="n">
        <x:v>46310.35289351852</x:v>
      </x:c>
      <x:c r="C171" s="33" t="n">
        <x:v>24.218</x:v>
      </x:c>
      <x:c r="D171" s="33" t="n">
        <x:v>205.695</x:v>
      </x:c>
      <x:c r="E171" s="33" t="n">
        <x:v>84.665</x:v>
      </x:c>
      <x:c r="F171" s="31" t="str"/>
      <x:c r="G171" s="31" t="str">
        <x:f>IF(C171="","NO DATA",IF(C171&gt;=30,"ALERT","NORMAL"))</x:f>
        <x:v>NORMAL</x:v>
      </x:c>
      <x:c r="H171" s="31" t="str">
        <x:f>IF(C171="","MISSING",IF(C171&gt;=30,"HIGH TEMP","OK"))</x:f>
        <x:v>OK</x:v>
      </x:c>
      <x:c r="I171" s="31" t="str">
        <x:f>IF(E171="","NO DATA",IF(E171&lt;20,"LOW FLOW","OK"))</x:f>
        <x:v>OK</x:v>
      </x:c>
      <x:c r="J171" s="31" t="str">
        <x:f>IF(OR(C171="",D171="",E171=""),"MISSING",IF(OR(C171&lt;0,C171&gt;60,D171&lt;50,D171&gt;400,E171&lt;0,E171&gt;200),"REVIEW","OK"))</x:f>
        <x:v>OK</x:v>
      </x:c>
    </x:row>
    <x:row r="172">
      <x:c r="A172" s="31" t="n">
        <x:v>171</x:v>
      </x:c>
      <x:c r="B172" s="32" t="n">
        <x:v>46310.35300925926</x:v>
      </x:c>
      <x:c r="C172" s="33" t="n">
        <x:v>24.161</x:v>
      </x:c>
      <x:c r="D172" s="33" t="n">
        <x:v>206.613</x:v>
      </x:c>
      <x:c r="E172" s="33" t="n">
        <x:v>85.603</x:v>
      </x:c>
      <x:c r="F172" s="31" t="str"/>
      <x:c r="G172" s="31" t="str">
        <x:f>IF(C172="","NO DATA",IF(C172&gt;=30,"ALERT","NORMAL"))</x:f>
        <x:v>NORMAL</x:v>
      </x:c>
      <x:c r="H172" s="31" t="str">
        <x:f>IF(C172="","MISSING",IF(C172&gt;=30,"HIGH TEMP","OK"))</x:f>
        <x:v>OK</x:v>
      </x:c>
      <x:c r="I172" s="31" t="str">
        <x:f>IF(E172="","NO DATA",IF(E172&lt;20,"LOW FLOW","OK"))</x:f>
        <x:v>OK</x:v>
      </x:c>
      <x:c r="J172" s="31" t="str">
        <x:f>IF(OR(C172="",D172="",E172=""),"MISSING",IF(OR(C172&lt;0,C172&gt;60,D172&lt;50,D172&gt;400,E172&lt;0,E172&gt;200),"REVIEW","OK"))</x:f>
        <x:v>OK</x:v>
      </x:c>
    </x:row>
    <x:row r="173">
      <x:c r="A173" s="31" t="n">
        <x:v>172</x:v>
      </x:c>
      <x:c r="B173" s="32" t="n">
        <x:v>46310.353125</x:v>
      </x:c>
      <x:c r="C173" s="33" t="n">
        <x:v>24.228</x:v>
      </x:c>
      <x:c r="D173" s="33" t="n">
        <x:v>207.98</x:v>
      </x:c>
      <x:c r="E173" s="33" t="n">
        <x:v>85.787</x:v>
      </x:c>
      <x:c r="F173" s="31" t="str"/>
      <x:c r="G173" s="31" t="str">
        <x:f>IF(C173="","NO DATA",IF(C173&gt;=30,"ALERT","NORMAL"))</x:f>
        <x:v>NORMAL</x:v>
      </x:c>
      <x:c r="H173" s="31" t="str">
        <x:f>IF(C173="","MISSING",IF(C173&gt;=30,"HIGH TEMP","OK"))</x:f>
        <x:v>OK</x:v>
      </x:c>
      <x:c r="I173" s="31" t="str">
        <x:f>IF(E173="","NO DATA",IF(E173&lt;20,"LOW FLOW","OK"))</x:f>
        <x:v>OK</x:v>
      </x:c>
      <x:c r="J173" s="31" t="str">
        <x:f>IF(OR(C173="",D173="",E173=""),"MISSING",IF(OR(C173&lt;0,C173&gt;60,D173&lt;50,D173&gt;400,E173&lt;0,E173&gt;200),"REVIEW","OK"))</x:f>
        <x:v>OK</x:v>
      </x:c>
    </x:row>
    <x:row r="174">
      <x:c r="A174" s="31" t="n">
        <x:v>173</x:v>
      </x:c>
      <x:c r="B174" s="32" t="n">
        <x:v>46310.35324074074</x:v>
      </x:c>
      <x:c r="C174" s="33" t="n">
        <x:v>24.207</x:v>
      </x:c>
      <x:c r="D174" s="33" t="n">
        <x:v>206.064</x:v>
      </x:c>
      <x:c r="E174" s="33" t="n">
        <x:v>83.845</x:v>
      </x:c>
      <x:c r="F174" s="31" t="str"/>
      <x:c r="G174" s="31" t="str">
        <x:f>IF(C174="","NO DATA",IF(C174&gt;=30,"ALERT","NORMAL"))</x:f>
        <x:v>NORMAL</x:v>
      </x:c>
      <x:c r="H174" s="31" t="str">
        <x:f>IF(C174="","MISSING",IF(C174&gt;=30,"HIGH TEMP","OK"))</x:f>
        <x:v>OK</x:v>
      </x:c>
      <x:c r="I174" s="31" t="str">
        <x:f>IF(E174="","NO DATA",IF(E174&lt;20,"LOW FLOW","OK"))</x:f>
        <x:v>OK</x:v>
      </x:c>
      <x:c r="J174" s="31" t="str">
        <x:f>IF(OR(C174="",D174="",E174=""),"MISSING",IF(OR(C174&lt;0,C174&gt;60,D174&lt;50,D174&gt;400,E174&lt;0,E174&gt;200),"REVIEW","OK"))</x:f>
        <x:v>OK</x:v>
      </x:c>
    </x:row>
    <x:row r="175">
      <x:c r="A175" s="31" t="n">
        <x:v>174</x:v>
      </x:c>
      <x:c r="B175" s="32" t="n">
        <x:v>46310.35335648148</x:v>
      </x:c>
      <x:c r="C175" s="33" t="n">
        <x:v>24.309</x:v>
      </x:c>
      <x:c r="D175" s="33" t="n">
        <x:v>208.915</x:v>
      </x:c>
      <x:c r="E175" s="33" t="n">
        <x:v>84.64</x:v>
      </x:c>
      <x:c r="F175" s="31" t="str"/>
      <x:c r="G175" s="31" t="str">
        <x:f>IF(C175="","NO DATA",IF(C175&gt;=30,"ALERT","NORMAL"))</x:f>
        <x:v>NORMAL</x:v>
      </x:c>
      <x:c r="H175" s="31" t="str">
        <x:f>IF(C175="","MISSING",IF(C175&gt;=30,"HIGH TEMP","OK"))</x:f>
        <x:v>OK</x:v>
      </x:c>
      <x:c r="I175" s="31" t="str">
        <x:f>IF(E175="","NO DATA",IF(E175&lt;20,"LOW FLOW","OK"))</x:f>
        <x:v>OK</x:v>
      </x:c>
      <x:c r="J175" s="31" t="str">
        <x:f>IF(OR(C175="",D175="",E175=""),"MISSING",IF(OR(C175&lt;0,C175&gt;60,D175&lt;50,D175&gt;400,E175&lt;0,E175&gt;200),"REVIEW","OK"))</x:f>
        <x:v>OK</x:v>
      </x:c>
    </x:row>
    <x:row r="176">
      <x:c r="A176" s="31" t="n">
        <x:v>175</x:v>
      </x:c>
      <x:c r="B176" s="32" t="n">
        <x:v>46310.353472222225</x:v>
      </x:c>
      <x:c r="C176" s="33" t="n">
        <x:v>24.358</x:v>
      </x:c>
      <x:c r="D176" s="33" t="n">
        <x:v>208.359</x:v>
      </x:c>
      <x:c r="E176" s="33" t="n">
        <x:v>85.36</x:v>
      </x:c>
      <x:c r="F176" s="31" t="str"/>
      <x:c r="G176" s="31" t="str">
        <x:f>IF(C176="","NO DATA",IF(C176&gt;=30,"ALERT","NORMAL"))</x:f>
        <x:v>NORMAL</x:v>
      </x:c>
      <x:c r="H176" s="31" t="str">
        <x:f>IF(C176="","MISSING",IF(C176&gt;=30,"HIGH TEMP","OK"))</x:f>
        <x:v>OK</x:v>
      </x:c>
      <x:c r="I176" s="31" t="str">
        <x:f>IF(E176="","NO DATA",IF(E176&lt;20,"LOW FLOW","OK"))</x:f>
        <x:v>OK</x:v>
      </x:c>
      <x:c r="J176" s="31" t="str">
        <x:f>IF(OR(C176="",D176="",E176=""),"MISSING",IF(OR(C176&lt;0,C176&gt;60,D176&lt;50,D176&gt;400,E176&lt;0,E176&gt;200),"REVIEW","OK"))</x:f>
        <x:v>OK</x:v>
      </x:c>
    </x:row>
    <x:row r="177">
      <x:c r="A177" s="31" t="n">
        <x:v>176</x:v>
      </x:c>
      <x:c r="B177" s="32" t="n">
        <x:v>46310.35358796296</x:v>
      </x:c>
      <x:c r="C177" s="33" t="n">
        <x:v>24.405</x:v>
      </x:c>
      <x:c r="D177" s="33" t="n">
        <x:v>208.966</x:v>
      </x:c>
      <x:c r="E177" s="33" t="n">
        <x:v>84.263</x:v>
      </x:c>
      <x:c r="F177" s="31" t="str"/>
      <x:c r="G177" s="31" t="str">
        <x:f>IF(C177="","NO DATA",IF(C177&gt;=30,"ALERT","NORMAL"))</x:f>
        <x:v>NORMAL</x:v>
      </x:c>
      <x:c r="H177" s="31" t="str">
        <x:f>IF(C177="","MISSING",IF(C177&gt;=30,"HIGH TEMP","OK"))</x:f>
        <x:v>OK</x:v>
      </x:c>
      <x:c r="I177" s="31" t="str">
        <x:f>IF(E177="","NO DATA",IF(E177&lt;20,"LOW FLOW","OK"))</x:f>
        <x:v>OK</x:v>
      </x:c>
      <x:c r="J177" s="31" t="str">
        <x:f>IF(OR(C177="",D177="",E177=""),"MISSING",IF(OR(C177&lt;0,C177&gt;60,D177&lt;50,D177&gt;400,E177&lt;0,E177&gt;200),"REVIEW","OK"))</x:f>
        <x:v>OK</x:v>
      </x:c>
    </x:row>
    <x:row r="178">
      <x:c r="A178" s="31" t="n">
        <x:v>177</x:v>
      </x:c>
      <x:c r="B178" s="32" t="n">
        <x:v>46310.3537037037</x:v>
      </x:c>
      <x:c r="C178" s="33" t="n">
        <x:v>24.199</x:v>
      </x:c>
      <x:c r="D178" s="33" t="n">
        <x:v>206.68</x:v>
      </x:c>
      <x:c r="E178" s="33" t="n">
        <x:v>84.071</x:v>
      </x:c>
      <x:c r="F178" s="31" t="str"/>
      <x:c r="G178" s="31" t="str">
        <x:f>IF(C178="","NO DATA",IF(C178&gt;=30,"ALERT","NORMAL"))</x:f>
        <x:v>NORMAL</x:v>
      </x:c>
      <x:c r="H178" s="31" t="str">
        <x:f>IF(C178="","MISSING",IF(C178&gt;=30,"HIGH TEMP","OK"))</x:f>
        <x:v>OK</x:v>
      </x:c>
      <x:c r="I178" s="31" t="str">
        <x:f>IF(E178="","NO DATA",IF(E178&lt;20,"LOW FLOW","OK"))</x:f>
        <x:v>OK</x:v>
      </x:c>
      <x:c r="J178" s="31" t="str">
        <x:f>IF(OR(C178="",D178="",E178=""),"MISSING",IF(OR(C178&lt;0,C178&gt;60,D178&lt;50,D178&gt;400,E178&lt;0,E178&gt;200),"REVIEW","OK"))</x:f>
        <x:v>OK</x:v>
      </x:c>
    </x:row>
    <x:row r="179">
      <x:c r="A179" s="31" t="n">
        <x:v>178</x:v>
      </x:c>
      <x:c r="B179" s="32" t="n">
        <x:v>46310.35381944444</x:v>
      </x:c>
      <x:c r="C179" s="33" t="n">
        <x:v>24.408</x:v>
      </x:c>
      <x:c r="D179" s="33" t="n">
        <x:v>208.022</x:v>
      </x:c>
      <x:c r="E179" s="33" t="n">
        <x:v>84.268</x:v>
      </x:c>
      <x:c r="F179" s="31" t="str"/>
      <x:c r="G179" s="31" t="str">
        <x:f>IF(C179="","NO DATA",IF(C179&gt;=30,"ALERT","NORMAL"))</x:f>
        <x:v>NORMAL</x:v>
      </x:c>
      <x:c r="H179" s="31" t="str">
        <x:f>IF(C179="","MISSING",IF(C179&gt;=30,"HIGH TEMP","OK"))</x:f>
        <x:v>OK</x:v>
      </x:c>
      <x:c r="I179" s="31" t="str">
        <x:f>IF(E179="","NO DATA",IF(E179&lt;20,"LOW FLOW","OK"))</x:f>
        <x:v>OK</x:v>
      </x:c>
      <x:c r="J179" s="31" t="str">
        <x:f>IF(OR(C179="",D179="",E179=""),"MISSING",IF(OR(C179&lt;0,C179&gt;60,D179&lt;50,D179&gt;400,E179&lt;0,E179&gt;200),"REVIEW","OK"))</x:f>
        <x:v>OK</x:v>
      </x:c>
    </x:row>
    <x:row r="180">
      <x:c r="A180" s="31" t="n">
        <x:v>179</x:v>
      </x:c>
      <x:c r="B180" s="32" t="n">
        <x:v>46310.35393518519</x:v>
      </x:c>
      <x:c r="C180" s="33" t="n">
        <x:v>24.431</x:v>
      </x:c>
      <x:c r="D180" s="33" t="n">
        <x:v>208.74</x:v>
      </x:c>
      <x:c r="E180" s="33" t="n">
        <x:v>84.119</x:v>
      </x:c>
      <x:c r="F180" s="31" t="str"/>
      <x:c r="G180" s="31" t="str">
        <x:f>IF(C180="","NO DATA",IF(C180&gt;=30,"ALERT","NORMAL"))</x:f>
        <x:v>NORMAL</x:v>
      </x:c>
      <x:c r="H180" s="31" t="str">
        <x:f>IF(C180="","MISSING",IF(C180&gt;=30,"HIGH TEMP","OK"))</x:f>
        <x:v>OK</x:v>
      </x:c>
      <x:c r="I180" s="31" t="str">
        <x:f>IF(E180="","NO DATA",IF(E180&lt;20,"LOW FLOW","OK"))</x:f>
        <x:v>OK</x:v>
      </x:c>
      <x:c r="J180" s="31" t="str">
        <x:f>IF(OR(C180="",D180="",E180=""),"MISSING",IF(OR(C180&lt;0,C180&gt;60,D180&lt;50,D180&gt;400,E180&lt;0,E180&gt;200),"REVIEW","OK"))</x:f>
        <x:v>OK</x:v>
      </x:c>
    </x:row>
    <x:row r="181">
      <x:c r="A181" s="31" t="n">
        <x:v>180</x:v>
      </x:c>
      <x:c r="B181" s="32" t="n">
        <x:v>46310.354050925926</x:v>
      </x:c>
      <x:c r="C181" s="33" t="n">
        <x:v>24.417</x:v>
      </x:c>
      <x:c r="D181" s="33" t="n">
        <x:v>208.795</x:v>
      </x:c>
      <x:c r="E181" s="33" t="n">
        <x:v>83.956</x:v>
      </x:c>
      <x:c r="F181" s="31" t="str"/>
      <x:c r="G181" s="31" t="str">
        <x:f>IF(C181="","NO DATA",IF(C181&gt;=30,"ALERT","NORMAL"))</x:f>
        <x:v>NORMAL</x:v>
      </x:c>
      <x:c r="H181" s="31" t="str">
        <x:f>IF(C181="","MISSING",IF(C181&gt;=30,"HIGH TEMP","OK"))</x:f>
        <x:v>OK</x:v>
      </x:c>
      <x:c r="I181" s="31" t="str">
        <x:f>IF(E181="","NO DATA",IF(E181&lt;20,"LOW FLOW","OK"))</x:f>
        <x:v>OK</x:v>
      </x:c>
      <x:c r="J181" s="31" t="str">
        <x:f>IF(OR(C181="",D181="",E181=""),"MISSING",IF(OR(C181&lt;0,C181&gt;60,D181&lt;50,D181&gt;400,E181&lt;0,E181&gt;200),"REVIEW","OK"))</x:f>
        <x:v>OK</x:v>
      </x:c>
    </x:row>
    <x:row r="182">
      <x:c r="A182" s="31" t="n">
        <x:v>181</x:v>
      </x:c>
      <x:c r="B182" s="32" t="n">
        <x:v>46310.354166666664</x:v>
      </x:c>
      <x:c r="C182" s="33" t="n">
        <x:v>30.72</x:v>
      </x:c>
      <x:c r="D182" s="33" t="n">
        <x:v>209.559</x:v>
      </x:c>
      <x:c r="E182" s="33" t="n">
        <x:v>83.9</x:v>
      </x:c>
      <x:c r="F182" s="31" t="str">
        <x:v>Warm condition observed</x:v>
      </x:c>
      <x:c r="G182" s="31" t="str">
        <x:f>IF(C182="","NO DATA",IF(C182&gt;=30,"ALERT","NORMAL"))</x:f>
        <x:v>ALERT</x:v>
      </x:c>
      <x:c r="H182" s="31" t="str">
        <x:f>IF(C182="","MISSING",IF(C182&gt;=30,"HIGH TEMP","OK"))</x:f>
        <x:v>HIGH TEMP</x:v>
      </x:c>
      <x:c r="I182" s="31" t="str">
        <x:f>IF(E182="","NO DATA",IF(E182&lt;20,"LOW FLOW","OK"))</x:f>
        <x:v>OK</x:v>
      </x:c>
      <x:c r="J182" s="31" t="str">
        <x:f>IF(OR(C182="",D182="",E182=""),"MISSING",IF(OR(C182&lt;0,C182&gt;60,D182&lt;50,D182&gt;400,E182&lt;0,E182&gt;200),"REVIEW","OK"))</x:f>
        <x:v>OK</x:v>
      </x:c>
    </x:row>
    <x:row r="183">
      <x:c r="A183" s="31" t="n">
        <x:v>182</x:v>
      </x:c>
      <x:c r="B183" s="32" t="n">
        <x:v>46310.35428240741</x:v>
      </x:c>
      <x:c r="C183" s="33" t="n">
        <x:v>30.852</x:v>
      </x:c>
      <x:c r="D183" s="33" t="n">
        <x:v>208.812</x:v>
      </x:c>
      <x:c r="E183" s="33" t="n">
        <x:v>85.893</x:v>
      </x:c>
      <x:c r="F183" s="31" t="str">
        <x:v>Warm condition observed</x:v>
      </x:c>
      <x:c r="G183" s="31" t="str">
        <x:f>IF(C183="","NO DATA",IF(C183&gt;=30,"ALERT","NORMAL"))</x:f>
        <x:v>ALERT</x:v>
      </x:c>
      <x:c r="H183" s="31" t="str">
        <x:f>IF(C183="","MISSING",IF(C183&gt;=30,"HIGH TEMP","OK"))</x:f>
        <x:v>HIGH TEMP</x:v>
      </x:c>
      <x:c r="I183" s="31" t="str">
        <x:f>IF(E183="","NO DATA",IF(E183&lt;20,"LOW FLOW","OK"))</x:f>
        <x:v>OK</x:v>
      </x:c>
      <x:c r="J183" s="31" t="str">
        <x:f>IF(OR(C183="",D183="",E183=""),"MISSING",IF(OR(C183&lt;0,C183&gt;60,D183&lt;50,D183&gt;400,E183&lt;0,E183&gt;200),"REVIEW","OK"))</x:f>
        <x:v>OK</x:v>
      </x:c>
    </x:row>
    <x:row r="184">
      <x:c r="A184" s="31" t="n">
        <x:v>183</x:v>
      </x:c>
      <x:c r="B184" s="32" t="n">
        <x:v>46310.35439814815</x:v>
      </x:c>
      <x:c r="C184" s="33" t="n">
        <x:v>30.919</x:v>
      </x:c>
      <x:c r="D184" s="33" t="n">
        <x:v>207.125</x:v>
      </x:c>
      <x:c r="E184" s="33" t="n">
        <x:v>85.198</x:v>
      </x:c>
      <x:c r="F184" s="31" t="str">
        <x:v>Warm condition observed</x:v>
      </x:c>
      <x:c r="G184" s="31" t="str">
        <x:f>IF(C184="","NO DATA",IF(C184&gt;=30,"ALERT","NORMAL"))</x:f>
        <x:v>ALERT</x:v>
      </x:c>
      <x:c r="H184" s="31" t="str">
        <x:f>IF(C184="","MISSING",IF(C184&gt;=30,"HIGH TEMP","OK"))</x:f>
        <x:v>HIGH TEMP</x:v>
      </x:c>
      <x:c r="I184" s="31" t="str">
        <x:f>IF(E184="","NO DATA",IF(E184&lt;20,"LOW FLOW","OK"))</x:f>
        <x:v>OK</x:v>
      </x:c>
      <x:c r="J184" s="31" t="str">
        <x:f>IF(OR(C184="",D184="",E184=""),"MISSING",IF(OR(C184&lt;0,C184&gt;60,D184&lt;50,D184&gt;400,E184&lt;0,E184&gt;200),"REVIEW","OK"))</x:f>
        <x:v>OK</x:v>
      </x:c>
    </x:row>
    <x:row r="185">
      <x:c r="A185" s="31" t="n">
        <x:v>184</x:v>
      </x:c>
      <x:c r="B185" s="32" t="n">
        <x:v>46310.35451388889</x:v>
      </x:c>
      <x:c r="C185" s="33" t="n">
        <x:v>30.903</x:v>
      </x:c>
      <x:c r="D185" s="33" t="n">
        <x:v>209.334</x:v>
      </x:c>
      <x:c r="E185" s="33" t="n">
        <x:v>85.523</x:v>
      </x:c>
      <x:c r="F185" s="31" t="str">
        <x:v>Warm condition observed</x:v>
      </x:c>
      <x:c r="G185" s="31" t="str">
        <x:f>IF(C185="","NO DATA",IF(C185&gt;=30,"ALERT","NORMAL"))</x:f>
        <x:v>ALERT</x:v>
      </x:c>
      <x:c r="H185" s="31" t="str">
        <x:f>IF(C185="","MISSING",IF(C185&gt;=30,"HIGH TEMP","OK"))</x:f>
        <x:v>HIGH TEMP</x:v>
      </x:c>
      <x:c r="I185" s="31" t="str">
        <x:f>IF(E185="","NO DATA",IF(E185&lt;20,"LOW FLOW","OK"))</x:f>
        <x:v>OK</x:v>
      </x:c>
      <x:c r="J185" s="31" t="str">
        <x:f>IF(OR(C185="",D185="",E185=""),"MISSING",IF(OR(C185&lt;0,C185&gt;60,D185&lt;50,D185&gt;400,E185&lt;0,E185&gt;200),"REVIEW","OK"))</x:f>
        <x:v>OK</x:v>
      </x:c>
    </x:row>
    <x:row r="186">
      <x:c r="A186" s="31" t="n">
        <x:v>185</x:v>
      </x:c>
      <x:c r="B186" s="32" t="n">
        <x:v>46310.354629629626</x:v>
      </x:c>
      <x:c r="C186" s="33" t="n">
        <x:v>30.807</x:v>
      </x:c>
      <x:c r="D186" s="33" t="n">
        <x:v>210.089</x:v>
      </x:c>
      <x:c r="E186" s="33" t="n">
        <x:v>85.297</x:v>
      </x:c>
      <x:c r="F186" s="31" t="str">
        <x:v>Warm condition observed</x:v>
      </x:c>
      <x:c r="G186" s="31" t="str">
        <x:f>IF(C186="","NO DATA",IF(C186&gt;=30,"ALERT","NORMAL"))</x:f>
        <x:v>ALERT</x:v>
      </x:c>
      <x:c r="H186" s="31" t="str">
        <x:f>IF(C186="","MISSING",IF(C186&gt;=30,"HIGH TEMP","OK"))</x:f>
        <x:v>HIGH TEMP</x:v>
      </x:c>
      <x:c r="I186" s="31" t="str">
        <x:f>IF(E186="","NO DATA",IF(E186&lt;20,"LOW FLOW","OK"))</x:f>
        <x:v>OK</x:v>
      </x:c>
      <x:c r="J186" s="31" t="str">
        <x:f>IF(OR(C186="",D186="",E186=""),"MISSING",IF(OR(C186&lt;0,C186&gt;60,D186&lt;50,D186&gt;400,E186&lt;0,E186&gt;200),"REVIEW","OK"))</x:f>
        <x:v>OK</x:v>
      </x:c>
    </x:row>
    <x:row r="187">
      <x:c r="A187" s="31" t="n">
        <x:v>186</x:v>
      </x:c>
      <x:c r="B187" s="32" t="n">
        <x:v>46310.35474537037</x:v>
      </x:c>
      <x:c r="C187" s="33" t="n">
        <x:v>30.711</x:v>
      </x:c>
      <x:c r="D187" s="33" t="n">
        <x:v>208.371</x:v>
      </x:c>
      <x:c r="E187" s="33" t="n">
        <x:v>84.564</x:v>
      </x:c>
      <x:c r="F187" s="31" t="str">
        <x:v>Warm condition observed</x:v>
      </x:c>
      <x:c r="G187" s="31" t="str">
        <x:f>IF(C187="","NO DATA",IF(C187&gt;=30,"ALERT","NORMAL"))</x:f>
        <x:v>ALERT</x:v>
      </x:c>
      <x:c r="H187" s="31" t="str">
        <x:f>IF(C187="","MISSING",IF(C187&gt;=30,"HIGH TEMP","OK"))</x:f>
        <x:v>HIGH TEMP</x:v>
      </x:c>
      <x:c r="I187" s="31" t="str">
        <x:f>IF(E187="","NO DATA",IF(E187&lt;20,"LOW FLOW","OK"))</x:f>
        <x:v>OK</x:v>
      </x:c>
      <x:c r="J187" s="31" t="str">
        <x:f>IF(OR(C187="",D187="",E187=""),"MISSING",IF(OR(C187&lt;0,C187&gt;60,D187&lt;50,D187&gt;400,E187&lt;0,E187&gt;200),"REVIEW","OK"))</x:f>
        <x:v>OK</x:v>
      </x:c>
    </x:row>
    <x:row r="188">
      <x:c r="A188" s="31" t="n">
        <x:v>187</x:v>
      </x:c>
      <x:c r="B188" s="32" t="n">
        <x:v>46310.35486111111</x:v>
      </x:c>
      <x:c r="C188" s="33" t="n">
        <x:v>30.683</x:v>
      </x:c>
      <x:c r="D188" s="33" t="n">
        <x:v>209.849</x:v>
      </x:c>
      <x:c r="E188" s="33" t="n">
        <x:v>83.528</x:v>
      </x:c>
      <x:c r="F188" s="31" t="str">
        <x:v>Warm condition observed</x:v>
      </x:c>
      <x:c r="G188" s="31" t="str">
        <x:f>IF(C188="","NO DATA",IF(C188&gt;=30,"ALERT","NORMAL"))</x:f>
        <x:v>ALERT</x:v>
      </x:c>
      <x:c r="H188" s="31" t="str">
        <x:f>IF(C188="","MISSING",IF(C188&gt;=30,"HIGH TEMP","OK"))</x:f>
        <x:v>HIGH TEMP</x:v>
      </x:c>
      <x:c r="I188" s="31" t="str">
        <x:f>IF(E188="","NO DATA",IF(E188&lt;20,"LOW FLOW","OK"))</x:f>
        <x:v>OK</x:v>
      </x:c>
      <x:c r="J188" s="31" t="str">
        <x:f>IF(OR(C188="",D188="",E188=""),"MISSING",IF(OR(C188&lt;0,C188&gt;60,D188&lt;50,D188&gt;400,E188&lt;0,E188&gt;200),"REVIEW","OK"))</x:f>
        <x:v>OK</x:v>
      </x:c>
    </x:row>
    <x:row r="189">
      <x:c r="A189" s="31" t="n">
        <x:v>188</x:v>
      </x:c>
      <x:c r="B189" s="32" t="n">
        <x:v>46310.35497685185</x:v>
      </x:c>
      <x:c r="C189" s="33" t="n">
        <x:v>30.445</x:v>
      </x:c>
      <x:c r="D189" s="33" t="n">
        <x:v>209.993</x:v>
      </x:c>
      <x:c r="E189" s="33" t="n">
        <x:v>84.893</x:v>
      </x:c>
      <x:c r="F189" s="31" t="str">
        <x:v>Warm condition observed</x:v>
      </x:c>
      <x:c r="G189" s="31" t="str">
        <x:f>IF(C189="","NO DATA",IF(C189&gt;=30,"ALERT","NORMAL"))</x:f>
        <x:v>ALERT</x:v>
      </x:c>
      <x:c r="H189" s="31" t="str">
        <x:f>IF(C189="","MISSING",IF(C189&gt;=30,"HIGH TEMP","OK"))</x:f>
        <x:v>HIGH TEMP</x:v>
      </x:c>
      <x:c r="I189" s="31" t="str">
        <x:f>IF(E189="","NO DATA",IF(E189&lt;20,"LOW FLOW","OK"))</x:f>
        <x:v>OK</x:v>
      </x:c>
      <x:c r="J189" s="31" t="str">
        <x:f>IF(OR(C189="",D189="",E189=""),"MISSING",IF(OR(C189&lt;0,C189&gt;60,D189&lt;50,D189&gt;400,E189&lt;0,E189&gt;200),"REVIEW","OK"))</x:f>
        <x:v>OK</x:v>
      </x:c>
    </x:row>
    <x:row r="190">
      <x:c r="A190" s="31" t="n">
        <x:v>189</x:v>
      </x:c>
      <x:c r="B190" s="32" t="n">
        <x:v>46310.355092592596</x:v>
      </x:c>
      <x:c r="C190" s="33" t="n">
        <x:v>30.336</x:v>
      </x:c>
      <x:c r="D190" s="33" t="n">
        <x:v>210.529</x:v>
      </x:c>
      <x:c r="E190" s="33" t="n">
        <x:v>83.759</x:v>
      </x:c>
      <x:c r="F190" s="31" t="str">
        <x:v>Warm condition observed</x:v>
      </x:c>
      <x:c r="G190" s="31" t="str">
        <x:f>IF(C190="","NO DATA",IF(C190&gt;=30,"ALERT","NORMAL"))</x:f>
        <x:v>ALERT</x:v>
      </x:c>
      <x:c r="H190" s="31" t="str">
        <x:f>IF(C190="","MISSING",IF(C190&gt;=30,"HIGH TEMP","OK"))</x:f>
        <x:v>HIGH TEMP</x:v>
      </x:c>
      <x:c r="I190" s="31" t="str">
        <x:f>IF(E190="","NO DATA",IF(E190&lt;20,"LOW FLOW","OK"))</x:f>
        <x:v>OK</x:v>
      </x:c>
      <x:c r="J190" s="31" t="str">
        <x:f>IF(OR(C190="",D190="",E190=""),"MISSING",IF(OR(C190&lt;0,C190&gt;60,D190&lt;50,D190&gt;400,E190&lt;0,E190&gt;200),"REVIEW","OK"))</x:f>
        <x:v>OK</x:v>
      </x:c>
    </x:row>
    <x:row r="191">
      <x:c r="A191" s="31" t="n">
        <x:v>190</x:v>
      </x:c>
      <x:c r="B191" s="32" t="n">
        <x:v>46310.355208333334</x:v>
      </x:c>
      <x:c r="C191" s="33" t="n">
        <x:v>30.149</x:v>
      </x:c>
      <x:c r="D191" s="33" t="n">
        <x:v>209.209</x:v>
      </x:c>
      <x:c r="E191" s="33" t="n">
        <x:v>84.067</x:v>
      </x:c>
      <x:c r="F191" s="31" t="str">
        <x:v>Warm condition observed</x:v>
      </x:c>
      <x:c r="G191" s="31" t="str">
        <x:f>IF(C191="","NO DATA",IF(C191&gt;=30,"ALERT","NORMAL"))</x:f>
        <x:v>ALERT</x:v>
      </x:c>
      <x:c r="H191" s="31" t="str">
        <x:f>IF(C191="","MISSING",IF(C191&gt;=30,"HIGH TEMP","OK"))</x:f>
        <x:v>HIGH TEMP</x:v>
      </x:c>
      <x:c r="I191" s="31" t="str">
        <x:f>IF(E191="","NO DATA",IF(E191&lt;20,"LOW FLOW","OK"))</x:f>
        <x:v>OK</x:v>
      </x:c>
      <x:c r="J191" s="31" t="str">
        <x:f>IF(OR(C191="",D191="",E191=""),"MISSING",IF(OR(C191&lt;0,C191&gt;60,D191&lt;50,D191&gt;400,E191&lt;0,E191&gt;200),"REVIEW","OK"))</x:f>
        <x:v>OK</x:v>
      </x:c>
    </x:row>
    <x:row r="192">
      <x:c r="A192" s="31" t="n">
        <x:v>191</x:v>
      </x:c>
      <x:c r="B192" s="32" t="n">
        <x:v>46310.35532407407</x:v>
      </x:c>
      <x:c r="C192" s="33" t="n">
        <x:v>29.877</x:v>
      </x:c>
      <x:c r="D192" s="33" t="n">
        <x:v>210.441</x:v>
      </x:c>
      <x:c r="E192" s="33" t="n">
        <x:v>84.921</x:v>
      </x:c>
      <x:c r="F192" s="31" t="str">
        <x:v>Warm condition observed</x:v>
      </x:c>
      <x:c r="G192" s="31" t="str">
        <x:f>IF(C192="","NO DATA",IF(C192&gt;=30,"ALERT","NORMAL"))</x:f>
        <x:v>NORMAL</x:v>
      </x:c>
      <x:c r="H192" s="31" t="str">
        <x:f>IF(C192="","MISSING",IF(C192&gt;=30,"HIGH TEMP","OK"))</x:f>
        <x:v>OK</x:v>
      </x:c>
      <x:c r="I192" s="31" t="str">
        <x:f>IF(E192="","NO DATA",IF(E192&lt;20,"LOW FLOW","OK"))</x:f>
        <x:v>OK</x:v>
      </x:c>
      <x:c r="J192" s="31" t="str">
        <x:f>IF(OR(C192="",D192="",E192=""),"MISSING",IF(OR(C192&lt;0,C192&gt;60,D192&lt;50,D192&gt;400,E192&lt;0,E192&gt;200),"REVIEW","OK"))</x:f>
        <x:v>OK</x:v>
      </x:c>
    </x:row>
    <x:row r="193">
      <x:c r="A193" s="31" t="n">
        <x:v>192</x:v>
      </x:c>
      <x:c r="B193" s="32" t="n">
        <x:v>46310.35543981481</x:v>
      </x:c>
      <x:c r="C193" s="33" t="n">
        <x:v>29.807</x:v>
      </x:c>
      <x:c r="D193" s="33" t="n">
        <x:v>208.745</x:v>
      </x:c>
      <x:c r="E193" s="33" t="n">
        <x:v>83.945</x:v>
      </x:c>
      <x:c r="F193" s="31" t="str">
        <x:v>Warm condition observed</x:v>
      </x:c>
      <x:c r="G193" s="31" t="str">
        <x:f>IF(C193="","NO DATA",IF(C193&gt;=30,"ALERT","NORMAL"))</x:f>
        <x:v>NORMAL</x:v>
      </x:c>
      <x:c r="H193" s="31" t="str">
        <x:f>IF(C193="","MISSING",IF(C193&gt;=30,"HIGH TEMP","OK"))</x:f>
        <x:v>OK</x:v>
      </x:c>
      <x:c r="I193" s="31" t="str">
        <x:f>IF(E193="","NO DATA",IF(E193&lt;20,"LOW FLOW","OK"))</x:f>
        <x:v>OK</x:v>
      </x:c>
      <x:c r="J193" s="31" t="str">
        <x:f>IF(OR(C193="",D193="",E193=""),"MISSING",IF(OR(C193&lt;0,C193&gt;60,D193&lt;50,D193&gt;400,E193&lt;0,E193&gt;200),"REVIEW","OK"))</x:f>
        <x:v>OK</x:v>
      </x:c>
    </x:row>
    <x:row r="194">
      <x:c r="A194" s="31" t="n">
        <x:v>193</x:v>
      </x:c>
      <x:c r="B194" s="32" t="n">
        <x:v>46310.35555555556</x:v>
      </x:c>
      <x:c r="C194" s="33" t="n">
        <x:v>29.611</x:v>
      </x:c>
      <x:c r="D194" s="33" t="n">
        <x:v>208.228</x:v>
      </x:c>
      <x:c r="E194" s="33" t="n">
        <x:v>84.769</x:v>
      </x:c>
      <x:c r="F194" s="31" t="str">
        <x:v>Warm condition observed</x:v>
      </x:c>
      <x:c r="G194" s="31" t="str">
        <x:f>IF(C194="","NO DATA",IF(C194&gt;=30,"ALERT","NORMAL"))</x:f>
        <x:v>NORMAL</x:v>
      </x:c>
      <x:c r="H194" s="31" t="str">
        <x:f>IF(C194="","MISSING",IF(C194&gt;=30,"HIGH TEMP","OK"))</x:f>
        <x:v>OK</x:v>
      </x:c>
      <x:c r="I194" s="31" t="str">
        <x:f>IF(E194="","NO DATA",IF(E194&lt;20,"LOW FLOW","OK"))</x:f>
        <x:v>OK</x:v>
      </x:c>
      <x:c r="J194" s="31" t="str">
        <x:f>IF(OR(C194="",D194="",E194=""),"MISSING",IF(OR(C194&lt;0,C194&gt;60,D194&lt;50,D194&gt;400,E194&lt;0,E194&gt;200),"REVIEW","OK"))</x:f>
        <x:v>OK</x:v>
      </x:c>
    </x:row>
    <x:row r="195">
      <x:c r="A195" s="31" t="n">
        <x:v>194</x:v>
      </x:c>
      <x:c r="B195" s="32" t="n">
        <x:v>46310.355671296296</x:v>
      </x:c>
      <x:c r="C195" s="33" t="n">
        <x:v>29.629</x:v>
      </x:c>
      <x:c r="D195" s="33" t="n">
        <x:v>210.664</x:v>
      </x:c>
      <x:c r="E195" s="33" t="n">
        <x:v>83.437</x:v>
      </x:c>
      <x:c r="F195" s="31" t="str">
        <x:v>Warm condition observed</x:v>
      </x:c>
      <x:c r="G195" s="31" t="str">
        <x:f>IF(C195="","NO DATA",IF(C195&gt;=30,"ALERT","NORMAL"))</x:f>
        <x:v>NORMAL</x:v>
      </x:c>
      <x:c r="H195" s="31" t="str">
        <x:f>IF(C195="","MISSING",IF(C195&gt;=30,"HIGH TEMP","OK"))</x:f>
        <x:v>OK</x:v>
      </x:c>
      <x:c r="I195" s="31" t="str">
        <x:f>IF(E195="","NO DATA",IF(E195&lt;20,"LOW FLOW","OK"))</x:f>
        <x:v>OK</x:v>
      </x:c>
      <x:c r="J195" s="31" t="str">
        <x:f>IF(OR(C195="",D195="",E195=""),"MISSING",IF(OR(C195&lt;0,C195&gt;60,D195&lt;50,D195&gt;400,E195&lt;0,E195&gt;200),"REVIEW","OK"))</x:f>
        <x:v>OK</x:v>
      </x:c>
    </x:row>
    <x:row r="196">
      <x:c r="A196" s="31" t="n">
        <x:v>195</x:v>
      </x:c>
      <x:c r="B196" s="32" t="n">
        <x:v>46310.355787037035</x:v>
      </x:c>
      <x:c r="C196" s="33" t="n">
        <x:v>29.585</x:v>
      </x:c>
      <x:c r="D196" s="33" t="n">
        <x:v>209.228</x:v>
      </x:c>
      <x:c r="E196" s="33" t="n">
        <x:v>82.535</x:v>
      </x:c>
      <x:c r="F196" s="31" t="str">
        <x:v>Warm condition observed</x:v>
      </x:c>
      <x:c r="G196" s="31" t="str">
        <x:f>IF(C196="","NO DATA",IF(C196&gt;=30,"ALERT","NORMAL"))</x:f>
        <x:v>NORMAL</x:v>
      </x:c>
      <x:c r="H196" s="31" t="str">
        <x:f>IF(C196="","MISSING",IF(C196&gt;=30,"HIGH TEMP","OK"))</x:f>
        <x:v>OK</x:v>
      </x:c>
      <x:c r="I196" s="31" t="str">
        <x:f>IF(E196="","NO DATA",IF(E196&lt;20,"LOW FLOW","OK"))</x:f>
        <x:v>OK</x:v>
      </x:c>
      <x:c r="J196" s="31" t="str">
        <x:f>IF(OR(C196="",D196="",E196=""),"MISSING",IF(OR(C196&lt;0,C196&gt;60,D196&lt;50,D196&gt;400,E196&lt;0,E196&gt;200),"REVIEW","OK"))</x:f>
        <x:v>OK</x:v>
      </x:c>
    </x:row>
    <x:row r="197">
      <x:c r="A197" s="31" t="n">
        <x:v>196</x:v>
      </x:c>
      <x:c r="B197" s="32" t="n">
        <x:v>46310.35590277778</x:v>
      </x:c>
      <x:c r="C197" s="33" t="n">
        <x:v>29.542</x:v>
      </x:c>
      <x:c r="D197" s="33" t="n">
        <x:v>210.689</x:v>
      </x:c>
      <x:c r="E197" s="33" t="n">
        <x:v>83.569</x:v>
      </x:c>
      <x:c r="F197" s="31" t="str">
        <x:v>Warm condition observed</x:v>
      </x:c>
      <x:c r="G197" s="31" t="str">
        <x:f>IF(C197="","NO DATA",IF(C197&gt;=30,"ALERT","NORMAL"))</x:f>
        <x:v>NORMAL</x:v>
      </x:c>
      <x:c r="H197" s="31" t="str">
        <x:f>IF(C197="","MISSING",IF(C197&gt;=30,"HIGH TEMP","OK"))</x:f>
        <x:v>OK</x:v>
      </x:c>
      <x:c r="I197" s="31" t="str">
        <x:f>IF(E197="","NO DATA",IF(E197&lt;20,"LOW FLOW","OK"))</x:f>
        <x:v>OK</x:v>
      </x:c>
      <x:c r="J197" s="31" t="str">
        <x:f>IF(OR(C197="",D197="",E197=""),"MISSING",IF(OR(C197&lt;0,C197&gt;60,D197&lt;50,D197&gt;400,E197&lt;0,E197&gt;200),"REVIEW","OK"))</x:f>
        <x:v>OK</x:v>
      </x:c>
    </x:row>
    <x:row r="198">
      <x:c r="A198" s="31" t="n">
        <x:v>197</x:v>
      </x:c>
      <x:c r="B198" s="32" t="n">
        <x:v>46310.35601851852</x:v>
      </x:c>
      <x:c r="C198" s="33" t="n">
        <x:v>29.579</x:v>
      </x:c>
      <x:c r="D198" s="33" t="n">
        <x:v>210.595</x:v>
      </x:c>
      <x:c r="E198" s="33" t="n">
        <x:v>83.457</x:v>
      </x:c>
      <x:c r="F198" s="31" t="str">
        <x:v>Warm condition observed</x:v>
      </x:c>
      <x:c r="G198" s="31" t="str">
        <x:f>IF(C198="","NO DATA",IF(C198&gt;=30,"ALERT","NORMAL"))</x:f>
        <x:v>NORMAL</x:v>
      </x:c>
      <x:c r="H198" s="31" t="str">
        <x:f>IF(C198="","MISSING",IF(C198&gt;=30,"HIGH TEMP","OK"))</x:f>
        <x:v>OK</x:v>
      </x:c>
      <x:c r="I198" s="31" t="str">
        <x:f>IF(E198="","NO DATA",IF(E198&lt;20,"LOW FLOW","OK"))</x:f>
        <x:v>OK</x:v>
      </x:c>
      <x:c r="J198" s="31" t="str">
        <x:f>IF(OR(C198="",D198="",E198=""),"MISSING",IF(OR(C198&lt;0,C198&gt;60,D198&lt;50,D198&gt;400,E198&lt;0,E198&gt;200),"REVIEW","OK"))</x:f>
        <x:v>OK</x:v>
      </x:c>
    </x:row>
    <x:row r="199">
      <x:c r="A199" s="31" t="n">
        <x:v>198</x:v>
      </x:c>
      <x:c r="B199" s="32" t="n">
        <x:v>46310.35613425926</x:v>
      </x:c>
      <x:c r="C199" s="33" t="n">
        <x:v>29.574</x:v>
      </x:c>
      <x:c r="D199" s="33" t="n">
        <x:v>209.451</x:v>
      </x:c>
      <x:c r="E199" s="33" t="n">
        <x:v>83.82</x:v>
      </x:c>
      <x:c r="F199" s="31" t="str">
        <x:v>Warm condition observed</x:v>
      </x:c>
      <x:c r="G199" s="31" t="str">
        <x:f>IF(C199="","NO DATA",IF(C199&gt;=30,"ALERT","NORMAL"))</x:f>
        <x:v>NORMAL</x:v>
      </x:c>
      <x:c r="H199" s="31" t="str">
        <x:f>IF(C199="","MISSING",IF(C199&gt;=30,"HIGH TEMP","OK"))</x:f>
        <x:v>OK</x:v>
      </x:c>
      <x:c r="I199" s="31" t="str">
        <x:f>IF(E199="","NO DATA",IF(E199&lt;20,"LOW FLOW","OK"))</x:f>
        <x:v>OK</x:v>
      </x:c>
      <x:c r="J199" s="31" t="str">
        <x:f>IF(OR(C199="",D199="",E199=""),"MISSING",IF(OR(C199&lt;0,C199&gt;60,D199&lt;50,D199&gt;400,E199&lt;0,E199&gt;200),"REVIEW","OK"))</x:f>
        <x:v>OK</x:v>
      </x:c>
    </x:row>
    <x:row r="200">
      <x:c r="A200" s="31" t="n">
        <x:v>199</x:v>
      </x:c>
      <x:c r="B200" s="32" t="n">
        <x:v>46310.35625</x:v>
      </x:c>
      <x:c r="C200" s="33" t="n">
        <x:v>29.703</x:v>
      </x:c>
      <x:c r="D200" s="33" t="n">
        <x:v>210.335</x:v>
      </x:c>
      <x:c r="E200" s="33" t="n">
        <x:v>83.311</x:v>
      </x:c>
      <x:c r="F200" s="31" t="str">
        <x:v>Warm condition observed</x:v>
      </x:c>
      <x:c r="G200" s="31" t="str">
        <x:f>IF(C200="","NO DATA",IF(C200&gt;=30,"ALERT","NORMAL"))</x:f>
        <x:v>NORMAL</x:v>
      </x:c>
      <x:c r="H200" s="31" t="str">
        <x:f>IF(C200="","MISSING",IF(C200&gt;=30,"HIGH TEMP","OK"))</x:f>
        <x:v>OK</x:v>
      </x:c>
      <x:c r="I200" s="31" t="str">
        <x:f>IF(E200="","NO DATA",IF(E200&lt;20,"LOW FLOW","OK"))</x:f>
        <x:v>OK</x:v>
      </x:c>
      <x:c r="J200" s="31" t="str">
        <x:f>IF(OR(C200="",D200="",E200=""),"MISSING",IF(OR(C200&lt;0,C200&gt;60,D200&lt;50,D200&gt;400,E200&lt;0,E200&gt;200),"REVIEW","OK"))</x:f>
        <x:v>OK</x:v>
      </x:c>
    </x:row>
    <x:row r="201">
      <x:c r="A201" s="31" t="n">
        <x:v>200</x:v>
      </x:c>
      <x:c r="B201" s="32" t="n">
        <x:v>46310.35636574074</x:v>
      </x:c>
      <x:c r="C201" s="33" t="n">
        <x:v>29.818</x:v>
      </x:c>
      <x:c r="D201" s="33" t="n">
        <x:v>210.035</x:v>
      </x:c>
      <x:c r="E201" s="33" t="n">
        <x:v>83.598</x:v>
      </x:c>
      <x:c r="F201" s="31" t="str">
        <x:v>Warm condition observed</x:v>
      </x:c>
      <x:c r="G201" s="31" t="str">
        <x:f>IF(C201="","NO DATA",IF(C201&gt;=30,"ALERT","NORMAL"))</x:f>
        <x:v>NORMAL</x:v>
      </x:c>
      <x:c r="H201" s="31" t="str">
        <x:f>IF(C201="","MISSING",IF(C201&gt;=30,"HIGH TEMP","OK"))</x:f>
        <x:v>OK</x:v>
      </x:c>
      <x:c r="I201" s="31" t="str">
        <x:f>IF(E201="","NO DATA",IF(E201&lt;20,"LOW FLOW","OK"))</x:f>
        <x:v>OK</x:v>
      </x:c>
      <x:c r="J201" s="31" t="str">
        <x:f>IF(OR(C201="",D201="",E201=""),"MISSING",IF(OR(C201&lt;0,C201&gt;60,D201&lt;50,D201&gt;400,E201&lt;0,E201&gt;200),"REVIEW","OK"))</x:f>
        <x:v>OK</x:v>
      </x:c>
    </x:row>
    <x:row r="202">
      <x:c r="A202" s="31" t="n">
        <x:v>201</x:v>
      </x:c>
      <x:c r="B202" s="32" t="n">
        <x:v>46310.35648148148</x:v>
      </x:c>
      <x:c r="C202" s="33" t="n">
        <x:v>29.955</x:v>
      </x:c>
      <x:c r="D202" s="33" t="n">
        <x:v>209.532</x:v>
      </x:c>
      <x:c r="E202" s="33" t="n">
        <x:v>82.245</x:v>
      </x:c>
      <x:c r="F202" s="31" t="str">
        <x:v>Warm condition observed</x:v>
      </x:c>
      <x:c r="G202" s="31" t="str">
        <x:f>IF(C202="","NO DATA",IF(C202&gt;=30,"ALERT","NORMAL"))</x:f>
        <x:v>NORMAL</x:v>
      </x:c>
      <x:c r="H202" s="31" t="str">
        <x:f>IF(C202="","MISSING",IF(C202&gt;=30,"HIGH TEMP","OK"))</x:f>
        <x:v>OK</x:v>
      </x:c>
      <x:c r="I202" s="31" t="str">
        <x:f>IF(E202="","NO DATA",IF(E202&lt;20,"LOW FLOW","OK"))</x:f>
        <x:v>OK</x:v>
      </x:c>
      <x:c r="J202" s="31" t="str">
        <x:f>IF(OR(C202="",D202="",E202=""),"MISSING",IF(OR(C202&lt;0,C202&gt;60,D202&lt;50,D202&gt;400,E202&lt;0,E202&gt;200),"REVIEW","OK"))</x:f>
        <x:v>OK</x:v>
      </x:c>
    </x:row>
    <x:row r="203">
      <x:c r="A203" s="31" t="n">
        <x:v>202</x:v>
      </x:c>
      <x:c r="B203" s="32" t="n">
        <x:v>46310.35659722222</x:v>
      </x:c>
      <x:c r="C203" s="33" t="n">
        <x:v>30.144</x:v>
      </x:c>
      <x:c r="D203" s="33" t="n">
        <x:v>211.584</x:v>
      </x:c>
      <x:c r="E203" s="33" t="n">
        <x:v>82.098</x:v>
      </x:c>
      <x:c r="F203" s="31" t="str">
        <x:v>Warm condition observed</x:v>
      </x:c>
      <x:c r="G203" s="31" t="str">
        <x:f>IF(C203="","NO DATA",IF(C203&gt;=30,"ALERT","NORMAL"))</x:f>
        <x:v>ALERT</x:v>
      </x:c>
      <x:c r="H203" s="31" t="str">
        <x:f>IF(C203="","MISSING",IF(C203&gt;=30,"HIGH TEMP","OK"))</x:f>
        <x:v>HIGH TEMP</x:v>
      </x:c>
      <x:c r="I203" s="31" t="str">
        <x:f>IF(E203="","NO DATA",IF(E203&lt;20,"LOW FLOW","OK"))</x:f>
        <x:v>OK</x:v>
      </x:c>
      <x:c r="J203" s="31" t="str">
        <x:f>IF(OR(C203="",D203="",E203=""),"MISSING",IF(OR(C203&lt;0,C203&gt;60,D203&lt;50,D203&gt;400,E203&lt;0,E203&gt;200),"REVIEW","OK"))</x:f>
        <x:v>OK</x:v>
      </x:c>
    </x:row>
    <x:row r="204">
      <x:c r="A204" s="31" t="n">
        <x:v>203</x:v>
      </x:c>
      <x:c r="B204" s="32" t="n">
        <x:v>46310.35671296297</x:v>
      </x:c>
      <x:c r="C204" s="33" t="n">
        <x:v>30.367</x:v>
      </x:c>
      <x:c r="D204" s="33" t="n">
        <x:v>211.597</x:v>
      </x:c>
      <x:c r="E204" s="33" t="n">
        <x:v>83.866</x:v>
      </x:c>
      <x:c r="F204" s="31" t="str">
        <x:v>Warm condition observed</x:v>
      </x:c>
      <x:c r="G204" s="31" t="str">
        <x:f>IF(C204="","NO DATA",IF(C204&gt;=30,"ALERT","NORMAL"))</x:f>
        <x:v>ALERT</x:v>
      </x:c>
      <x:c r="H204" s="31" t="str">
        <x:f>IF(C204="","MISSING",IF(C204&gt;=30,"HIGH TEMP","OK"))</x:f>
        <x:v>HIGH TEMP</x:v>
      </x:c>
      <x:c r="I204" s="31" t="str">
        <x:f>IF(E204="","NO DATA",IF(E204&lt;20,"LOW FLOW","OK"))</x:f>
        <x:v>OK</x:v>
      </x:c>
      <x:c r="J204" s="31" t="str">
        <x:f>IF(OR(C204="",D204="",E204=""),"MISSING",IF(OR(C204&lt;0,C204&gt;60,D204&lt;50,D204&gt;400,E204&lt;0,E204&gt;200),"REVIEW","OK"))</x:f>
        <x:v>OK</x:v>
      </x:c>
    </x:row>
    <x:row r="205">
      <x:c r="A205" s="31" t="n">
        <x:v>204</x:v>
      </x:c>
      <x:c r="B205" s="32" t="n">
        <x:v>46310.356828703705</x:v>
      </x:c>
      <x:c r="C205" s="33" t="n">
        <x:v>30.482</x:v>
      </x:c>
      <x:c r="D205" s="33" t="n">
        <x:v>209.85</x:v>
      </x:c>
      <x:c r="E205" s="33" t="n">
        <x:v>81.855</x:v>
      </x:c>
      <x:c r="F205" s="31" t="str">
        <x:v>Warm condition observed</x:v>
      </x:c>
      <x:c r="G205" s="31" t="str">
        <x:f>IF(C205="","NO DATA",IF(C205&gt;=30,"ALERT","NORMAL"))</x:f>
        <x:v>ALERT</x:v>
      </x:c>
      <x:c r="H205" s="31" t="str">
        <x:f>IF(C205="","MISSING",IF(C205&gt;=30,"HIGH TEMP","OK"))</x:f>
        <x:v>HIGH TEMP</x:v>
      </x:c>
      <x:c r="I205" s="31" t="str">
        <x:f>IF(E205="","NO DATA",IF(E205&lt;20,"LOW FLOW","OK"))</x:f>
        <x:v>OK</x:v>
      </x:c>
      <x:c r="J205" s="31" t="str">
        <x:f>IF(OR(C205="",D205="",E205=""),"MISSING",IF(OR(C205&lt;0,C205&gt;60,D205&lt;50,D205&gt;400,E205&lt;0,E205&gt;200),"REVIEW","OK"))</x:f>
        <x:v>OK</x:v>
      </x:c>
    </x:row>
    <x:row r="206">
      <x:c r="A206" s="31" t="n">
        <x:v>205</x:v>
      </x:c>
      <x:c r="B206" s="32" t="n">
        <x:v>46310.356944444444</x:v>
      </x:c>
      <x:c r="C206" s="33" t="n">
        <x:v>30.633</x:v>
      </x:c>
      <x:c r="D206" s="33" t="n">
        <x:v>209.715</x:v>
      </x:c>
      <x:c r="E206" s="33" t="n">
        <x:v>82.536</x:v>
      </x:c>
      <x:c r="F206" s="31" t="str">
        <x:v>Warm condition observed</x:v>
      </x:c>
      <x:c r="G206" s="31" t="str">
        <x:f>IF(C206="","NO DATA",IF(C206&gt;=30,"ALERT","NORMAL"))</x:f>
        <x:v>ALERT</x:v>
      </x:c>
      <x:c r="H206" s="31" t="str">
        <x:f>IF(C206="","MISSING",IF(C206&gt;=30,"HIGH TEMP","OK"))</x:f>
        <x:v>HIGH TEMP</x:v>
      </x:c>
      <x:c r="I206" s="31" t="str">
        <x:f>IF(E206="","NO DATA",IF(E206&lt;20,"LOW FLOW","OK"))</x:f>
        <x:v>OK</x:v>
      </x:c>
      <x:c r="J206" s="31" t="str">
        <x:f>IF(OR(C206="",D206="",E206=""),"MISSING",IF(OR(C206&lt;0,C206&gt;60,D206&lt;50,D206&gt;400,E206&lt;0,E206&gt;200),"REVIEW","OK"))</x:f>
        <x:v>OK</x:v>
      </x:c>
    </x:row>
    <x:row r="207">
      <x:c r="A207" s="31" t="n">
        <x:v>206</x:v>
      </x:c>
      <x:c r="B207" s="32" t="n">
        <x:v>46310.35706018518</x:v>
      </x:c>
      <x:c r="C207" s="33" t="n">
        <x:v>30.723</x:v>
      </x:c>
      <x:c r="D207" s="33" t="n">
        <x:v>211.455</x:v>
      </x:c>
      <x:c r="E207" s="33" t="n">
        <x:v>82.793</x:v>
      </x:c>
      <x:c r="F207" s="31" t="str">
        <x:v>Warm condition observed</x:v>
      </x:c>
      <x:c r="G207" s="31" t="str">
        <x:f>IF(C207="","NO DATA",IF(C207&gt;=30,"ALERT","NORMAL"))</x:f>
        <x:v>ALERT</x:v>
      </x:c>
      <x:c r="H207" s="31" t="str">
        <x:f>IF(C207="","MISSING",IF(C207&gt;=30,"HIGH TEMP","OK"))</x:f>
        <x:v>HIGH TEMP</x:v>
      </x:c>
      <x:c r="I207" s="31" t="str">
        <x:f>IF(E207="","NO DATA",IF(E207&lt;20,"LOW FLOW","OK"))</x:f>
        <x:v>OK</x:v>
      </x:c>
      <x:c r="J207" s="31" t="str">
        <x:f>IF(OR(C207="",D207="",E207=""),"MISSING",IF(OR(C207&lt;0,C207&gt;60,D207&lt;50,D207&gt;400,E207&lt;0,E207&gt;200),"REVIEW","OK"))</x:f>
        <x:v>OK</x:v>
      </x:c>
    </x:row>
    <x:row r="208">
      <x:c r="A208" s="31" t="n">
        <x:v>207</x:v>
      </x:c>
      <x:c r="B208" s="32" t="n">
        <x:v>46310.35717592593</x:v>
      </x:c>
      <x:c r="C208" s="33" t="n">
        <x:v>24.574</x:v>
      </x:c>
      <x:c r="D208" s="33" t="n">
        <x:v>211.389</x:v>
      </x:c>
      <x:c r="E208" s="33" t="n">
        <x:v>83.078</x:v>
      </x:c>
      <x:c r="F208" s="31" t="str"/>
      <x:c r="G208" s="31" t="str">
        <x:f>IF(C208="","NO DATA",IF(C208&gt;=30,"ALERT","NORMAL"))</x:f>
        <x:v>NORMAL</x:v>
      </x:c>
      <x:c r="H208" s="31" t="str">
        <x:f>IF(C208="","MISSING",IF(C208&gt;=30,"HIGH TEMP","OK"))</x:f>
        <x:v>OK</x:v>
      </x:c>
      <x:c r="I208" s="31" t="str">
        <x:f>IF(E208="","NO DATA",IF(E208&lt;20,"LOW FLOW","OK"))</x:f>
        <x:v>OK</x:v>
      </x:c>
      <x:c r="J208" s="31" t="str">
        <x:f>IF(OR(C208="",D208="",E208=""),"MISSING",IF(OR(C208&lt;0,C208&gt;60,D208&lt;50,D208&gt;400,E208&lt;0,E208&gt;200),"REVIEW","OK"))</x:f>
        <x:v>OK</x:v>
      </x:c>
    </x:row>
    <x:row r="209">
      <x:c r="A209" s="31" t="n">
        <x:v>208</x:v>
      </x:c>
      <x:c r="B209" s="32" t="n">
        <x:v>46310.35729166667</x:v>
      </x:c>
      <x:c r="C209" s="33" t="n">
        <x:v>24.478</x:v>
      </x:c>
      <x:c r="D209" s="33" t="n">
        <x:v>211.445</x:v>
      </x:c>
      <x:c r="E209" s="33" t="n">
        <x:v>81.904</x:v>
      </x:c>
      <x:c r="F209" s="31" t="str"/>
      <x:c r="G209" s="31" t="str">
        <x:f>IF(C209="","NO DATA",IF(C209&gt;=30,"ALERT","NORMAL"))</x:f>
        <x:v>NORMAL</x:v>
      </x:c>
      <x:c r="H209" s="31" t="str">
        <x:f>IF(C209="","MISSING",IF(C209&gt;=30,"HIGH TEMP","OK"))</x:f>
        <x:v>OK</x:v>
      </x:c>
      <x:c r="I209" s="31" t="str">
        <x:f>IF(E209="","NO DATA",IF(E209&lt;20,"LOW FLOW","OK"))</x:f>
        <x:v>OK</x:v>
      </x:c>
      <x:c r="J209" s="31" t="str">
        <x:f>IF(OR(C209="",D209="",E209=""),"MISSING",IF(OR(C209&lt;0,C209&gt;60,D209&lt;50,D209&gt;400,E209&lt;0,E209&gt;200),"REVIEW","OK"))</x:f>
        <x:v>OK</x:v>
      </x:c>
    </x:row>
    <x:row r="210">
      <x:c r="A210" s="31" t="n">
        <x:v>209</x:v>
      </x:c>
      <x:c r="B210" s="32" t="n">
        <x:v>46310.357407407406</x:v>
      </x:c>
      <x:c r="C210" s="33" t="n">
        <x:v>24.352</x:v>
      </x:c>
      <x:c r="D210" s="33" t="n">
        <x:v>210.309</x:v>
      </x:c>
      <x:c r="E210" s="33" t="n">
        <x:v>82.969</x:v>
      </x:c>
      <x:c r="F210" s="31" t="str"/>
      <x:c r="G210" s="31" t="str">
        <x:f>IF(C210="","NO DATA",IF(C210&gt;=30,"ALERT","NORMAL"))</x:f>
        <x:v>NORMAL</x:v>
      </x:c>
      <x:c r="H210" s="31" t="str">
        <x:f>IF(C210="","MISSING",IF(C210&gt;=30,"HIGH TEMP","OK"))</x:f>
        <x:v>OK</x:v>
      </x:c>
      <x:c r="I210" s="31" t="str">
        <x:f>IF(E210="","NO DATA",IF(E210&lt;20,"LOW FLOW","OK"))</x:f>
        <x:v>OK</x:v>
      </x:c>
      <x:c r="J210" s="31" t="str">
        <x:f>IF(OR(C210="",D210="",E210=""),"MISSING",IF(OR(C210&lt;0,C210&gt;60,D210&lt;50,D210&gt;400,E210&lt;0,E210&gt;200),"REVIEW","OK"))</x:f>
        <x:v>OK</x:v>
      </x:c>
    </x:row>
    <x:row r="211">
      <x:c r="A211" s="31" t="n">
        <x:v>210</x:v>
      </x:c>
      <x:c r="B211" s="32" t="n">
        <x:v>46310.357523148145</x:v>
      </x:c>
      <x:c r="C211" s="33" t="n">
        <x:v>24.431</x:v>
      </x:c>
      <x:c r="D211" s="33" t="n">
        <x:v>212.738</x:v>
      </x:c>
      <x:c r="E211" s="33" t="n">
        <x:v>81.536</x:v>
      </x:c>
      <x:c r="F211" s="31" t="str"/>
      <x:c r="G211" s="31" t="str">
        <x:f>IF(C211="","NO DATA",IF(C211&gt;=30,"ALERT","NORMAL"))</x:f>
        <x:v>NORMAL</x:v>
      </x:c>
      <x:c r="H211" s="31" t="str">
        <x:f>IF(C211="","MISSING",IF(C211&gt;=30,"HIGH TEMP","OK"))</x:f>
        <x:v>OK</x:v>
      </x:c>
      <x:c r="I211" s="31" t="str">
        <x:f>IF(E211="","NO DATA",IF(E211&lt;20,"LOW FLOW","OK"))</x:f>
        <x:v>OK</x:v>
      </x:c>
      <x:c r="J211" s="31" t="str">
        <x:f>IF(OR(C211="",D211="",E211=""),"MISSING",IF(OR(C211&lt;0,C211&gt;60,D211&lt;50,D211&gt;400,E211&lt;0,E211&gt;200),"REVIEW","OK"))</x:f>
        <x:v>OK</x:v>
      </x:c>
    </x:row>
    <x:row r="212">
      <x:c r="A212" s="31" t="n">
        <x:v>211</x:v>
      </x:c>
      <x:c r="B212" s="32" t="n">
        <x:v>46310.35763888889</x:v>
      </x:c>
      <x:c r="C212" s="33" t="n">
        <x:v>24.3</x:v>
      </x:c>
      <x:c r="D212" s="33" t="n">
        <x:v>212.274</x:v>
      </x:c>
      <x:c r="E212" s="33" t="n">
        <x:v>80.568</x:v>
      </x:c>
      <x:c r="F212" s="31" t="str"/>
      <x:c r="G212" s="31" t="str">
        <x:f>IF(C212="","NO DATA",IF(C212&gt;=30,"ALERT","NORMAL"))</x:f>
        <x:v>NORMAL</x:v>
      </x:c>
      <x:c r="H212" s="31" t="str">
        <x:f>IF(C212="","MISSING",IF(C212&gt;=30,"HIGH TEMP","OK"))</x:f>
        <x:v>OK</x:v>
      </x:c>
      <x:c r="I212" s="31" t="str">
        <x:f>IF(E212="","NO DATA",IF(E212&lt;20,"LOW FLOW","OK"))</x:f>
        <x:v>OK</x:v>
      </x:c>
      <x:c r="J212" s="31" t="str">
        <x:f>IF(OR(C212="",D212="",E212=""),"MISSING",IF(OR(C212&lt;0,C212&gt;60,D212&lt;50,D212&gt;400,E212&lt;0,E212&gt;200),"REVIEW","OK"))</x:f>
        <x:v>OK</x:v>
      </x:c>
    </x:row>
    <x:row r="213">
      <x:c r="A213" s="31" t="n">
        <x:v>212</x:v>
      </x:c>
      <x:c r="B213" s="32" t="n">
        <x:v>46310.35775462963</x:v>
      </x:c>
      <x:c r="C213" s="33" t="n">
        <x:v>24.311</x:v>
      </x:c>
      <x:c r="D213" s="33" t="n">
        <x:v>212.187</x:v>
      </x:c>
      <x:c r="E213" s="33" t="n">
        <x:v>81.033</x:v>
      </x:c>
      <x:c r="F213" s="31" t="str"/>
      <x:c r="G213" s="31" t="str">
        <x:f>IF(C213="","NO DATA",IF(C213&gt;=30,"ALERT","NORMAL"))</x:f>
        <x:v>NORMAL</x:v>
      </x:c>
      <x:c r="H213" s="31" t="str">
        <x:f>IF(C213="","MISSING",IF(C213&gt;=30,"HIGH TEMP","OK"))</x:f>
        <x:v>OK</x:v>
      </x:c>
      <x:c r="I213" s="31" t="str">
        <x:f>IF(E213="","NO DATA",IF(E213&lt;20,"LOW FLOW","OK"))</x:f>
        <x:v>OK</x:v>
      </x:c>
      <x:c r="J213" s="31" t="str">
        <x:f>IF(OR(C213="",D213="",E213=""),"MISSING",IF(OR(C213&lt;0,C213&gt;60,D213&lt;50,D213&gt;400,E213&lt;0,E213&gt;200),"REVIEW","OK"))</x:f>
        <x:v>OK</x:v>
      </x:c>
    </x:row>
    <x:row r="214">
      <x:c r="A214" s="31" t="n">
        <x:v>213</x:v>
      </x:c>
      <x:c r="B214" s="32" t="n">
        <x:v>46310.35787037037</x:v>
      </x:c>
      <x:c r="C214" s="33" t="n">
        <x:v>24.553</x:v>
      </x:c>
      <x:c r="D214" s="33" t="n">
        <x:v>210.965</x:v>
      </x:c>
      <x:c r="E214" s="33" t="n">
        <x:v>82.005</x:v>
      </x:c>
      <x:c r="F214" s="31" t="str"/>
      <x:c r="G214" s="31" t="str">
        <x:f>IF(C214="","NO DATA",IF(C214&gt;=30,"ALERT","NORMAL"))</x:f>
        <x:v>NORMAL</x:v>
      </x:c>
      <x:c r="H214" s="31" t="str">
        <x:f>IF(C214="","MISSING",IF(C214&gt;=30,"HIGH TEMP","OK"))</x:f>
        <x:v>OK</x:v>
      </x:c>
      <x:c r="I214" s="31" t="str">
        <x:f>IF(E214="","NO DATA",IF(E214&lt;20,"LOW FLOW","OK"))</x:f>
        <x:v>OK</x:v>
      </x:c>
      <x:c r="J214" s="31" t="str">
        <x:f>IF(OR(C214="",D214="",E214=""),"MISSING",IF(OR(C214&lt;0,C214&gt;60,D214&lt;50,D214&gt;400,E214&lt;0,E214&gt;200),"REVIEW","OK"))</x:f>
        <x:v>OK</x:v>
      </x:c>
    </x:row>
    <x:row r="215">
      <x:c r="A215" s="31" t="n">
        <x:v>214</x:v>
      </x:c>
      <x:c r="B215" s="32" t="n">
        <x:v>46310.357986111114</x:v>
      </x:c>
      <x:c r="C215" s="33" t="n">
        <x:v>24.425</x:v>
      </x:c>
      <x:c r="D215" s="33" t="n">
        <x:v>213.09</x:v>
      </x:c>
      <x:c r="E215" s="33" t="n">
        <x:v>80.579</x:v>
      </x:c>
      <x:c r="F215" s="31" t="str"/>
      <x:c r="G215" s="31" t="str">
        <x:f>IF(C215="","NO DATA",IF(C215&gt;=30,"ALERT","NORMAL"))</x:f>
        <x:v>NORMAL</x:v>
      </x:c>
      <x:c r="H215" s="31" t="str">
        <x:f>IF(C215="","MISSING",IF(C215&gt;=30,"HIGH TEMP","OK"))</x:f>
        <x:v>OK</x:v>
      </x:c>
      <x:c r="I215" s="31" t="str">
        <x:f>IF(E215="","NO DATA",IF(E215&lt;20,"LOW FLOW","OK"))</x:f>
        <x:v>OK</x:v>
      </x:c>
      <x:c r="J215" s="31" t="str">
        <x:f>IF(OR(C215="",D215="",E215=""),"MISSING",IF(OR(C215&lt;0,C215&gt;60,D215&lt;50,D215&gt;400,E215&lt;0,E215&gt;200),"REVIEW","OK"))</x:f>
        <x:v>OK</x:v>
      </x:c>
    </x:row>
    <x:row r="216">
      <x:c r="A216" s="31" t="n">
        <x:v>215</x:v>
      </x:c>
      <x:c r="B216" s="32" t="n">
        <x:v>46310.35810185185</x:v>
      </x:c>
      <x:c r="C216" s="33" t="n">
        <x:v>24.387</x:v>
      </x:c>
      <x:c r="D216" s="33" t="n">
        <x:v>212.176</x:v>
      </x:c>
      <x:c r="E216" s="33" t="n">
        <x:v>80.969</x:v>
      </x:c>
      <x:c r="F216" s="31" t="str"/>
      <x:c r="G216" s="31" t="str">
        <x:f>IF(C216="","NO DATA",IF(C216&gt;=30,"ALERT","NORMAL"))</x:f>
        <x:v>NORMAL</x:v>
      </x:c>
      <x:c r="H216" s="31" t="str">
        <x:f>IF(C216="","MISSING",IF(C216&gt;=30,"HIGH TEMP","OK"))</x:f>
        <x:v>OK</x:v>
      </x:c>
      <x:c r="I216" s="31" t="str">
        <x:f>IF(E216="","NO DATA",IF(E216&lt;20,"LOW FLOW","OK"))</x:f>
        <x:v>OK</x:v>
      </x:c>
      <x:c r="J216" s="31" t="str">
        <x:f>IF(OR(C216="",D216="",E216=""),"MISSING",IF(OR(C216&lt;0,C216&gt;60,D216&lt;50,D216&gt;400,E216&lt;0,E216&gt;200),"REVIEW","OK"))</x:f>
        <x:v>OK</x:v>
      </x:c>
    </x:row>
    <x:row r="217">
      <x:c r="A217" s="31" t="n">
        <x:v>216</x:v>
      </x:c>
      <x:c r="B217" s="32" t="n">
        <x:v>46310.35821759259</x:v>
      </x:c>
      <x:c r="C217" s="33" t="n">
        <x:v>24.475</x:v>
      </x:c>
      <x:c r="D217" s="33" t="n">
        <x:v>213.898</x:v>
      </x:c>
      <x:c r="E217" s="33" t="n">
        <x:v>80.51</x:v>
      </x:c>
      <x:c r="F217" s="31" t="str"/>
      <x:c r="G217" s="31" t="str">
        <x:f>IF(C217="","NO DATA",IF(C217&gt;=30,"ALERT","NORMAL"))</x:f>
        <x:v>NORMAL</x:v>
      </x:c>
      <x:c r="H217" s="31" t="str">
        <x:f>IF(C217="","MISSING",IF(C217&gt;=30,"HIGH TEMP","OK"))</x:f>
        <x:v>OK</x:v>
      </x:c>
      <x:c r="I217" s="31" t="str">
        <x:f>IF(E217="","NO DATA",IF(E217&lt;20,"LOW FLOW","OK"))</x:f>
        <x:v>OK</x:v>
      </x:c>
      <x:c r="J217" s="31" t="str">
        <x:f>IF(OR(C217="",D217="",E217=""),"MISSING",IF(OR(C217&lt;0,C217&gt;60,D217&lt;50,D217&gt;400,E217&lt;0,E217&gt;200),"REVIEW","OK"))</x:f>
        <x:v>OK</x:v>
      </x:c>
    </x:row>
    <x:row r="218">
      <x:c r="A218" s="31" t="n">
        <x:v>217</x:v>
      </x:c>
      <x:c r="B218" s="32" t="n">
        <x:v>46310.35833333333</x:v>
      </x:c>
      <x:c r="C218" s="33" t="n">
        <x:v>24.39</x:v>
      </x:c>
      <x:c r="D218" s="33" t="n">
        <x:v>212.858</x:v>
      </x:c>
      <x:c r="E218" s="33" t="n">
        <x:v>81.426</x:v>
      </x:c>
      <x:c r="F218" s="31" t="str"/>
      <x:c r="G218" s="31" t="str">
        <x:f>IF(C218="","NO DATA",IF(C218&gt;=30,"ALERT","NORMAL"))</x:f>
        <x:v>NORMAL</x:v>
      </x:c>
      <x:c r="H218" s="31" t="str">
        <x:f>IF(C218="","MISSING",IF(C218&gt;=30,"HIGH TEMP","OK"))</x:f>
        <x:v>OK</x:v>
      </x:c>
      <x:c r="I218" s="31" t="str">
        <x:f>IF(E218="","NO DATA",IF(E218&lt;20,"LOW FLOW","OK"))</x:f>
        <x:v>OK</x:v>
      </x:c>
      <x:c r="J218" s="31" t="str">
        <x:f>IF(OR(C218="",D218="",E218=""),"MISSING",IF(OR(C218&lt;0,C218&gt;60,D218&lt;50,D218&gt;400,E218&lt;0,E218&gt;200),"REVIEW","OK"))</x:f>
        <x:v>OK</x:v>
      </x:c>
    </x:row>
    <x:row r="219">
      <x:c r="A219" s="31" t="n">
        <x:v>218</x:v>
      </x:c>
      <x:c r="B219" s="32" t="n">
        <x:v>46310.358449074076</x:v>
      </x:c>
      <x:c r="C219" s="33" t="n">
        <x:v>24.473</x:v>
      </x:c>
      <x:c r="D219" s="33" t="n">
        <x:v>211.751</x:v>
      </x:c>
      <x:c r="E219" s="33" t="n">
        <x:v>80.032</x:v>
      </x:c>
      <x:c r="F219" s="31" t="str"/>
      <x:c r="G219" s="31" t="str">
        <x:f>IF(C219="","NO DATA",IF(C219&gt;=30,"ALERT","NORMAL"))</x:f>
        <x:v>NORMAL</x:v>
      </x:c>
      <x:c r="H219" s="31" t="str">
        <x:f>IF(C219="","MISSING",IF(C219&gt;=30,"HIGH TEMP","OK"))</x:f>
        <x:v>OK</x:v>
      </x:c>
      <x:c r="I219" s="31" t="str">
        <x:f>IF(E219="","NO DATA",IF(E219&lt;20,"LOW FLOW","OK"))</x:f>
        <x:v>OK</x:v>
      </x:c>
      <x:c r="J219" s="31" t="str">
        <x:f>IF(OR(C219="",D219="",E219=""),"MISSING",IF(OR(C219&lt;0,C219&gt;60,D219&lt;50,D219&gt;400,E219&lt;0,E219&gt;200),"REVIEW","OK"))</x:f>
        <x:v>OK</x:v>
      </x:c>
    </x:row>
    <x:row r="220">
      <x:c r="A220" s="31" t="n">
        <x:v>219</x:v>
      </x:c>
      <x:c r="B220" s="32" t="n">
        <x:v>46310.358564814815</x:v>
      </x:c>
      <x:c r="C220" s="33" t="n">
        <x:v>24.372</x:v>
      </x:c>
      <x:c r="D220" s="33" t="n">
        <x:v>211.695</x:v>
      </x:c>
      <x:c r="E220" s="33" t="n">
        <x:v>79.82</x:v>
      </x:c>
      <x:c r="F220" s="31" t="str"/>
      <x:c r="G220" s="31" t="str">
        <x:f>IF(C220="","NO DATA",IF(C220&gt;=30,"ALERT","NORMAL"))</x:f>
        <x:v>NORMAL</x:v>
      </x:c>
      <x:c r="H220" s="31" t="str">
        <x:f>IF(C220="","MISSING",IF(C220&gt;=30,"HIGH TEMP","OK"))</x:f>
        <x:v>OK</x:v>
      </x:c>
      <x:c r="I220" s="31" t="str">
        <x:f>IF(E220="","NO DATA",IF(E220&lt;20,"LOW FLOW","OK"))</x:f>
        <x:v>OK</x:v>
      </x:c>
      <x:c r="J220" s="31" t="str">
        <x:f>IF(OR(C220="",D220="",E220=""),"MISSING",IF(OR(C220&lt;0,C220&gt;60,D220&lt;50,D220&gt;400,E220&lt;0,E220&gt;200),"REVIEW","OK"))</x:f>
        <x:v>OK</x:v>
      </x:c>
    </x:row>
    <x:row r="221">
      <x:c r="A221" s="31" t="n">
        <x:v>220</x:v>
      </x:c>
      <x:c r="B221" s="32" t="n">
        <x:v>46310.35868055555</x:v>
      </x:c>
      <x:c r="C221" s="33" t="n">
        <x:v>24.181</x:v>
      </x:c>
      <x:c r="D221" s="33" t="n">
        <x:v>211.325</x:v>
      </x:c>
      <x:c r="E221" s="33" t="n">
        <x:v>80.365</x:v>
      </x:c>
      <x:c r="F221" s="31" t="str"/>
      <x:c r="G221" s="31" t="str">
        <x:f>IF(C221="","NO DATA",IF(C221&gt;=30,"ALERT","NORMAL"))</x:f>
        <x:v>NORMAL</x:v>
      </x:c>
      <x:c r="H221" s="31" t="str">
        <x:f>IF(C221="","MISSING",IF(C221&gt;=30,"HIGH TEMP","OK"))</x:f>
        <x:v>OK</x:v>
      </x:c>
      <x:c r="I221" s="31" t="str">
        <x:f>IF(E221="","NO DATA",IF(E221&lt;20,"LOW FLOW","OK"))</x:f>
        <x:v>OK</x:v>
      </x:c>
      <x:c r="J221" s="31" t="str">
        <x:f>IF(OR(C221="",D221="",E221=""),"MISSING",IF(OR(C221&lt;0,C221&gt;60,D221&lt;50,D221&gt;400,E221&lt;0,E221&gt;200),"REVIEW","OK"))</x:f>
        <x:v>OK</x:v>
      </x:c>
    </x:row>
    <x:row r="222">
      <x:c r="A222" s="31" t="n">
        <x:v>221</x:v>
      </x:c>
      <x:c r="B222" s="32" t="n">
        <x:v>46310.3587962963</x:v>
      </x:c>
      <x:c r="C222" s="33" t="n">
        <x:v>24.321</x:v>
      </x:c>
      <x:c r="D222" s="33" t="n">
        <x:v>212.281</x:v>
      </x:c>
      <x:c r="E222" s="33" t="n">
        <x:v>79.723</x:v>
      </x:c>
      <x:c r="F222" s="31" t="str"/>
      <x:c r="G222" s="31" t="str">
        <x:f>IF(C222="","NO DATA",IF(C222&gt;=30,"ALERT","NORMAL"))</x:f>
        <x:v>NORMAL</x:v>
      </x:c>
      <x:c r="H222" s="31" t="str">
        <x:f>IF(C222="","MISSING",IF(C222&gt;=30,"HIGH TEMP","OK"))</x:f>
        <x:v>OK</x:v>
      </x:c>
      <x:c r="I222" s="31" t="str">
        <x:f>IF(E222="","NO DATA",IF(E222&lt;20,"LOW FLOW","OK"))</x:f>
        <x:v>OK</x:v>
      </x:c>
      <x:c r="J222" s="31" t="str">
        <x:f>IF(OR(C222="",D222="",E222=""),"MISSING",IF(OR(C222&lt;0,C222&gt;60,D222&lt;50,D222&gt;400,E222&lt;0,E222&gt;200),"REVIEW","OK"))</x:f>
        <x:v>OK</x:v>
      </x:c>
    </x:row>
    <x:row r="223">
      <x:c r="A223" s="31" t="n">
        <x:v>222</x:v>
      </x:c>
      <x:c r="B223" s="32" t="n">
        <x:v>46310.35891203704</x:v>
      </x:c>
      <x:c r="C223" s="33" t="n">
        <x:v>24.338</x:v>
      </x:c>
      <x:c r="D223" s="33" t="n">
        <x:v>213.603</x:v>
      </x:c>
      <x:c r="E223" s="33" t="n">
        <x:v>80.145</x:v>
      </x:c>
      <x:c r="F223" s="31" t="str"/>
      <x:c r="G223" s="31" t="str">
        <x:f>IF(C223="","NO DATA",IF(C223&gt;=30,"ALERT","NORMAL"))</x:f>
        <x:v>NORMAL</x:v>
      </x:c>
      <x:c r="H223" s="31" t="str">
        <x:f>IF(C223="","MISSING",IF(C223&gt;=30,"HIGH TEMP","OK"))</x:f>
        <x:v>OK</x:v>
      </x:c>
      <x:c r="I223" s="31" t="str">
        <x:f>IF(E223="","NO DATA",IF(E223&lt;20,"LOW FLOW","OK"))</x:f>
        <x:v>OK</x:v>
      </x:c>
      <x:c r="J223" s="31" t="str">
        <x:f>IF(OR(C223="",D223="",E223=""),"MISSING",IF(OR(C223&lt;0,C223&gt;60,D223&lt;50,D223&gt;400,E223&lt;0,E223&gt;200),"REVIEW","OK"))</x:f>
        <x:v>OK</x:v>
      </x:c>
    </x:row>
    <x:row r="224">
      <x:c r="A224" s="31" t="n">
        <x:v>223</x:v>
      </x:c>
      <x:c r="B224" s="32" t="n">
        <x:v>46310.35902777778</x:v>
      </x:c>
      <x:c r="C224" s="33" t="n">
        <x:v>24.315</x:v>
      </x:c>
      <x:c r="D224" s="33" t="n">
        <x:v>214.35</x:v>
      </x:c>
      <x:c r="E224" s="33" t="n">
        <x:v>80.837</x:v>
      </x:c>
      <x:c r="F224" s="31" t="str"/>
      <x:c r="G224" s="31" t="str">
        <x:f>IF(C224="","NO DATA",IF(C224&gt;=30,"ALERT","NORMAL"))</x:f>
        <x:v>NORMAL</x:v>
      </x:c>
      <x:c r="H224" s="31" t="str">
        <x:f>IF(C224="","MISSING",IF(C224&gt;=30,"HIGH TEMP","OK"))</x:f>
        <x:v>OK</x:v>
      </x:c>
      <x:c r="I224" s="31" t="str">
        <x:f>IF(E224="","NO DATA",IF(E224&lt;20,"LOW FLOW","OK"))</x:f>
        <x:v>OK</x:v>
      </x:c>
      <x:c r="J224" s="31" t="str">
        <x:f>IF(OR(C224="",D224="",E224=""),"MISSING",IF(OR(C224&lt;0,C224&gt;60,D224&lt;50,D224&gt;400,E224&lt;0,E224&gt;200),"REVIEW","OK"))</x:f>
        <x:v>OK</x:v>
      </x:c>
    </x:row>
    <x:row r="225">
      <x:c r="A225" s="31" t="n">
        <x:v>224</x:v>
      </x:c>
      <x:c r="B225" s="32" t="n">
        <x:v>46310.359143518515</x:v>
      </x:c>
      <x:c r="C225" s="33" t="n">
        <x:v>24.279</x:v>
      </x:c>
      <x:c r="D225" s="33" t="n">
        <x:v>213.642</x:v>
      </x:c>
      <x:c r="E225" s="33" t="n">
        <x:v>81.082</x:v>
      </x:c>
      <x:c r="F225" s="31" t="str"/>
      <x:c r="G225" s="31" t="str">
        <x:f>IF(C225="","NO DATA",IF(C225&gt;=30,"ALERT","NORMAL"))</x:f>
        <x:v>NORMAL</x:v>
      </x:c>
      <x:c r="H225" s="31" t="str">
        <x:f>IF(C225="","MISSING",IF(C225&gt;=30,"HIGH TEMP","OK"))</x:f>
        <x:v>OK</x:v>
      </x:c>
      <x:c r="I225" s="31" t="str">
        <x:f>IF(E225="","NO DATA",IF(E225&lt;20,"LOW FLOW","OK"))</x:f>
        <x:v>OK</x:v>
      </x:c>
      <x:c r="J225" s="31" t="str">
        <x:f>IF(OR(C225="",D225="",E225=""),"MISSING",IF(OR(C225&lt;0,C225&gt;60,D225&lt;50,D225&gt;400,E225&lt;0,E225&gt;200),"REVIEW","OK"))</x:f>
        <x:v>OK</x:v>
      </x:c>
    </x:row>
    <x:row r="226">
      <x:c r="A226" s="31" t="n">
        <x:v>225</x:v>
      </x:c>
      <x:c r="B226" s="32" t="n">
        <x:v>46310.35925925926</x:v>
      </x:c>
      <x:c r="C226" s="33" t="n">
        <x:v>24.202</x:v>
      </x:c>
      <x:c r="D226" s="33" t="n">
        <x:v>213.37</x:v>
      </x:c>
      <x:c r="E226" s="33" t="n">
        <x:v>80.294</x:v>
      </x:c>
      <x:c r="F226" s="31" t="str"/>
      <x:c r="G226" s="31" t="str">
        <x:f>IF(C226="","NO DATA",IF(C226&gt;=30,"ALERT","NORMAL"))</x:f>
        <x:v>NORMAL</x:v>
      </x:c>
      <x:c r="H226" s="31" t="str">
        <x:f>IF(C226="","MISSING",IF(C226&gt;=30,"HIGH TEMP","OK"))</x:f>
        <x:v>OK</x:v>
      </x:c>
      <x:c r="I226" s="31" t="str">
        <x:f>IF(E226="","NO DATA",IF(E226&lt;20,"LOW FLOW","OK"))</x:f>
        <x:v>OK</x:v>
      </x:c>
      <x:c r="J226" s="31" t="str">
        <x:f>IF(OR(C226="",D226="",E226=""),"MISSING",IF(OR(C226&lt;0,C226&gt;60,D226&lt;50,D226&gt;400,E226&lt;0,E226&gt;200),"REVIEW","OK"))</x:f>
        <x:v>OK</x:v>
      </x:c>
    </x:row>
    <x:row r="227">
      <x:c r="A227" s="31" t="n">
        <x:v>226</x:v>
      </x:c>
      <x:c r="B227" s="32" t="n">
        <x:v>46310.359375</x:v>
      </x:c>
      <x:c r="C227" s="33" t="n">
        <x:v>24.329</x:v>
      </x:c>
      <x:c r="D227" s="33" t="n">
        <x:v>214.29</x:v>
      </x:c>
      <x:c r="E227" s="33" t="n">
        <x:v>78.814</x:v>
      </x:c>
      <x:c r="F227" s="31" t="str"/>
      <x:c r="G227" s="31" t="str">
        <x:f>IF(C227="","NO DATA",IF(C227&gt;=30,"ALERT","NORMAL"))</x:f>
        <x:v>NORMAL</x:v>
      </x:c>
      <x:c r="H227" s="31" t="str">
        <x:f>IF(C227="","MISSING",IF(C227&gt;=30,"HIGH TEMP","OK"))</x:f>
        <x:v>OK</x:v>
      </x:c>
      <x:c r="I227" s="31" t="str">
        <x:f>IF(E227="","NO DATA",IF(E227&lt;20,"LOW FLOW","OK"))</x:f>
        <x:v>OK</x:v>
      </x:c>
      <x:c r="J227" s="31" t="str">
        <x:f>IF(OR(C227="",D227="",E227=""),"MISSING",IF(OR(C227&lt;0,C227&gt;60,D227&lt;50,D227&gt;400,E227&lt;0,E227&gt;200),"REVIEW","OK"))</x:f>
        <x:v>OK</x:v>
      </x:c>
    </x:row>
    <x:row r="228">
      <x:c r="A228" s="31" t="n">
        <x:v>227</x:v>
      </x:c>
      <x:c r="B228" s="32" t="n">
        <x:v>46310.35949074074</x:v>
      </x:c>
      <x:c r="C228" s="33" t="n">
        <x:v>24.087</x:v>
      </x:c>
      <x:c r="D228" s="33" t="n">
        <x:v>212.804</x:v>
      </x:c>
      <x:c r="E228" s="33" t="n">
        <x:v>80.348</x:v>
      </x:c>
      <x:c r="F228" s="31" t="str"/>
      <x:c r="G228" s="31" t="str">
        <x:f>IF(C228="","NO DATA",IF(C228&gt;=30,"ALERT","NORMAL"))</x:f>
        <x:v>NORMAL</x:v>
      </x:c>
      <x:c r="H228" s="31" t="str">
        <x:f>IF(C228="","MISSING",IF(C228&gt;=30,"HIGH TEMP","OK"))</x:f>
        <x:v>OK</x:v>
      </x:c>
      <x:c r="I228" s="31" t="str">
        <x:f>IF(E228="","NO DATA",IF(E228&lt;20,"LOW FLOW","OK"))</x:f>
        <x:v>OK</x:v>
      </x:c>
      <x:c r="J228" s="31" t="str">
        <x:f>IF(OR(C228="",D228="",E228=""),"MISSING",IF(OR(C228&lt;0,C228&gt;60,D228&lt;50,D228&gt;400,E228&lt;0,E228&gt;200),"REVIEW","OK"))</x:f>
        <x:v>OK</x:v>
      </x:c>
    </x:row>
    <x:row r="229">
      <x:c r="A229" s="31" t="n">
        <x:v>228</x:v>
      </x:c>
      <x:c r="B229" s="32" t="n">
        <x:v>46310.359606481485</x:v>
      </x:c>
      <x:c r="C229" s="33" t="n">
        <x:v>24.19</x:v>
      </x:c>
      <x:c r="D229" s="33" t="n">
        <x:v>212.814</x:v>
      </x:c>
      <x:c r="E229" s="33" t="n">
        <x:v>78.761</x:v>
      </x:c>
      <x:c r="F229" s="31" t="str"/>
      <x:c r="G229" s="31" t="str">
        <x:f>IF(C229="","NO DATA",IF(C229&gt;=30,"ALERT","NORMAL"))</x:f>
        <x:v>NORMAL</x:v>
      </x:c>
      <x:c r="H229" s="31" t="str">
        <x:f>IF(C229="","MISSING",IF(C229&gt;=30,"HIGH TEMP","OK"))</x:f>
        <x:v>OK</x:v>
      </x:c>
      <x:c r="I229" s="31" t="str">
        <x:f>IF(E229="","NO DATA",IF(E229&lt;20,"LOW FLOW","OK"))</x:f>
        <x:v>OK</x:v>
      </x:c>
      <x:c r="J229" s="31" t="str">
        <x:f>IF(OR(C229="",D229="",E229=""),"MISSING",IF(OR(C229&lt;0,C229&gt;60,D229&lt;50,D229&gt;400,E229&lt;0,E229&gt;200),"REVIEW","OK"))</x:f>
        <x:v>OK</x:v>
      </x:c>
    </x:row>
    <x:row r="230">
      <x:c r="A230" s="31" t="n">
        <x:v>229</x:v>
      </x:c>
      <x:c r="B230" s="32" t="n">
        <x:v>46310.35972222222</x:v>
      </x:c>
      <x:c r="C230" s="33" t="n">
        <x:v>24.207</x:v>
      </x:c>
      <x:c r="D230" s="33" t="n">
        <x:v>214.111</x:v>
      </x:c>
      <x:c r="E230" s="33" t="n">
        <x:v>80.642</x:v>
      </x:c>
      <x:c r="F230" s="31" t="str"/>
      <x:c r="G230" s="31" t="str">
        <x:f>IF(C230="","NO DATA",IF(C230&gt;=30,"ALERT","NORMAL"))</x:f>
        <x:v>NORMAL</x:v>
      </x:c>
      <x:c r="H230" s="31" t="str">
        <x:f>IF(C230="","MISSING",IF(C230&gt;=30,"HIGH TEMP","OK"))</x:f>
        <x:v>OK</x:v>
      </x:c>
      <x:c r="I230" s="31" t="str">
        <x:f>IF(E230="","NO DATA",IF(E230&lt;20,"LOW FLOW","OK"))</x:f>
        <x:v>OK</x:v>
      </x:c>
      <x:c r="J230" s="31" t="str">
        <x:f>IF(OR(C230="",D230="",E230=""),"MISSING",IF(OR(C230&lt;0,C230&gt;60,D230&lt;50,D230&gt;400,E230&lt;0,E230&gt;200),"REVIEW","OK"))</x:f>
        <x:v>OK</x:v>
      </x:c>
    </x:row>
    <x:row r="231">
      <x:c r="A231" s="31" t="n">
        <x:v>230</x:v>
      </x:c>
      <x:c r="B231" s="32" t="n">
        <x:v>46310.35983796296</x:v>
      </x:c>
      <x:c r="C231" s="33" t="n">
        <x:v>24.131</x:v>
      </x:c>
      <x:c r="D231" s="33" t="n">
        <x:v>213.553</x:v>
      </x:c>
      <x:c r="E231" s="33" t="n">
        <x:v>78.494</x:v>
      </x:c>
      <x:c r="F231" s="31" t="str"/>
      <x:c r="G231" s="31" t="str">
        <x:f>IF(C231="","NO DATA",IF(C231&gt;=30,"ALERT","NORMAL"))</x:f>
        <x:v>NORMAL</x:v>
      </x:c>
      <x:c r="H231" s="31" t="str">
        <x:f>IF(C231="","MISSING",IF(C231&gt;=30,"HIGH TEMP","OK"))</x:f>
        <x:v>OK</x:v>
      </x:c>
      <x:c r="I231" s="31" t="str">
        <x:f>IF(E231="","NO DATA",IF(E231&lt;20,"LOW FLOW","OK"))</x:f>
        <x:v>OK</x:v>
      </x:c>
      <x:c r="J231" s="31" t="str">
        <x:f>IF(OR(C231="",D231="",E231=""),"MISSING",IF(OR(C231&lt;0,C231&gt;60,D231&lt;50,D231&gt;400,E231&lt;0,E231&gt;200),"REVIEW","OK"))</x:f>
        <x:v>OK</x:v>
      </x:c>
    </x:row>
    <x:row r="232">
      <x:c r="A232" s="31" t="n">
        <x:v>231</x:v>
      </x:c>
      <x:c r="B232" s="32" t="n">
        <x:v>46310.3599537037</x:v>
      </x:c>
      <x:c r="C232" s="33" t="n">
        <x:v>23.973</x:v>
      </x:c>
      <x:c r="D232" s="33" t="n">
        <x:v>213.424</x:v>
      </x:c>
      <x:c r="E232" s="33" t="n">
        <x:v>79.002</x:v>
      </x:c>
      <x:c r="F232" s="31" t="str"/>
      <x:c r="G232" s="31" t="str">
        <x:f>IF(C232="","NO DATA",IF(C232&gt;=30,"ALERT","NORMAL"))</x:f>
        <x:v>NORMAL</x:v>
      </x:c>
      <x:c r="H232" s="31" t="str">
        <x:f>IF(C232="","MISSING",IF(C232&gt;=30,"HIGH TEMP","OK"))</x:f>
        <x:v>OK</x:v>
      </x:c>
      <x:c r="I232" s="31" t="str">
        <x:f>IF(E232="","NO DATA",IF(E232&lt;20,"LOW FLOW","OK"))</x:f>
        <x:v>OK</x:v>
      </x:c>
      <x:c r="J232" s="31" t="str">
        <x:f>IF(OR(C232="",D232="",E232=""),"MISSING",IF(OR(C232&lt;0,C232&gt;60,D232&lt;50,D232&gt;400,E232&lt;0,E232&gt;200),"REVIEW","OK"))</x:f>
        <x:v>OK</x:v>
      </x:c>
    </x:row>
    <x:row r="233">
      <x:c r="A233" s="31" t="n">
        <x:v>232</x:v>
      </x:c>
      <x:c r="B233" s="32" t="n">
        <x:v>46310.36006944445</x:v>
      </x:c>
      <x:c r="C233" s="33" t="n">
        <x:v>24.017</x:v>
      </x:c>
      <x:c r="D233" s="33" t="n">
        <x:v>212.455</x:v>
      </x:c>
      <x:c r="E233" s="33" t="n">
        <x:v>80.469</x:v>
      </x:c>
      <x:c r="F233" s="31" t="str"/>
      <x:c r="G233" s="31" t="str">
        <x:f>IF(C233="","NO DATA",IF(C233&gt;=30,"ALERT","NORMAL"))</x:f>
        <x:v>NORMAL</x:v>
      </x:c>
      <x:c r="H233" s="31" t="str">
        <x:f>IF(C233="","MISSING",IF(C233&gt;=30,"HIGH TEMP","OK"))</x:f>
        <x:v>OK</x:v>
      </x:c>
      <x:c r="I233" s="31" t="str">
        <x:f>IF(E233="","NO DATA",IF(E233&lt;20,"LOW FLOW","OK"))</x:f>
        <x:v>OK</x:v>
      </x:c>
      <x:c r="J233" s="31" t="str">
        <x:f>IF(OR(C233="",D233="",E233=""),"MISSING",IF(OR(C233&lt;0,C233&gt;60,D233&lt;50,D233&gt;400,E233&lt;0,E233&gt;200),"REVIEW","OK"))</x:f>
        <x:v>OK</x:v>
      </x:c>
    </x:row>
    <x:row r="234">
      <x:c r="A234" s="31" t="n">
        <x:v>233</x:v>
      </x:c>
      <x:c r="B234" s="32" t="n">
        <x:v>46310.360185185185</x:v>
      </x:c>
      <x:c r="C234" s="33" t="n">
        <x:v>24.173</x:v>
      </x:c>
      <x:c r="D234" s="33" t="n">
        <x:v>213.955</x:v>
      </x:c>
      <x:c r="E234" s="33" t="n">
        <x:v>80.381</x:v>
      </x:c>
      <x:c r="F234" s="31" t="str"/>
      <x:c r="G234" s="31" t="str">
        <x:f>IF(C234="","NO DATA",IF(C234&gt;=30,"ALERT","NORMAL"))</x:f>
        <x:v>NORMAL</x:v>
      </x:c>
      <x:c r="H234" s="31" t="str">
        <x:f>IF(C234="","MISSING",IF(C234&gt;=30,"HIGH TEMP","OK"))</x:f>
        <x:v>OK</x:v>
      </x:c>
      <x:c r="I234" s="31" t="str">
        <x:f>IF(E234="","NO DATA",IF(E234&lt;20,"LOW FLOW","OK"))</x:f>
        <x:v>OK</x:v>
      </x:c>
      <x:c r="J234" s="31" t="str">
        <x:f>IF(OR(C234="",D234="",E234=""),"MISSING",IF(OR(C234&lt;0,C234&gt;60,D234&lt;50,D234&gt;400,E234&lt;0,E234&gt;200),"REVIEW","OK"))</x:f>
        <x:v>OK</x:v>
      </x:c>
    </x:row>
    <x:row r="235">
      <x:c r="A235" s="31" t="n">
        <x:v>234</x:v>
      </x:c>
      <x:c r="B235" s="32" t="n">
        <x:v>46310.360300925924</x:v>
      </x:c>
      <x:c r="C235" s="33" t="n">
        <x:v>24.202</x:v>
      </x:c>
      <x:c r="D235" s="33" t="n">
        <x:v>214.291</x:v>
      </x:c>
      <x:c r="E235" s="33" t="n">
        <x:v>78.689</x:v>
      </x:c>
      <x:c r="F235" s="31" t="str"/>
      <x:c r="G235" s="31" t="str">
        <x:f>IF(C235="","NO DATA",IF(C235&gt;=30,"ALERT","NORMAL"))</x:f>
        <x:v>NORMAL</x:v>
      </x:c>
      <x:c r="H235" s="31" t="str">
        <x:f>IF(C235="","MISSING",IF(C235&gt;=30,"HIGH TEMP","OK"))</x:f>
        <x:v>OK</x:v>
      </x:c>
      <x:c r="I235" s="31" t="str">
        <x:f>IF(E235="","NO DATA",IF(E235&lt;20,"LOW FLOW","OK"))</x:f>
        <x:v>OK</x:v>
      </x:c>
      <x:c r="J235" s="31" t="str">
        <x:f>IF(OR(C235="",D235="",E235=""),"MISSING",IF(OR(C235&lt;0,C235&gt;60,D235&lt;50,D235&gt;400,E235&lt;0,E235&gt;200),"REVIEW","OK"))</x:f>
        <x:v>OK</x:v>
      </x:c>
    </x:row>
    <x:row r="236">
      <x:c r="A236" s="31" t="n">
        <x:v>235</x:v>
      </x:c>
      <x:c r="B236" s="32" t="n">
        <x:v>46310.36041666667</x:v>
      </x:c>
      <x:c r="C236" s="33" t="n">
        <x:v>23.894</x:v>
      </x:c>
      <x:c r="D236" s="33" t="n">
        <x:v>214.583</x:v>
      </x:c>
      <x:c r="E236" s="33" t="n">
        <x:v>79.121</x:v>
      </x:c>
      <x:c r="F236" s="31" t="str"/>
      <x:c r="G236" s="31" t="str">
        <x:f>IF(C236="","NO DATA",IF(C236&gt;=30,"ALERT","NORMAL"))</x:f>
        <x:v>NORMAL</x:v>
      </x:c>
      <x:c r="H236" s="31" t="str">
        <x:f>IF(C236="","MISSING",IF(C236&gt;=30,"HIGH TEMP","OK"))</x:f>
        <x:v>OK</x:v>
      </x:c>
      <x:c r="I236" s="31" t="str">
        <x:f>IF(E236="","NO DATA",IF(E236&lt;20,"LOW FLOW","OK"))</x:f>
        <x:v>OK</x:v>
      </x:c>
      <x:c r="J236" s="31" t="str">
        <x:f>IF(OR(C236="",D236="",E236=""),"MISSING",IF(OR(C236&lt;0,C236&gt;60,D236&lt;50,D236&gt;400,E236&lt;0,E236&gt;200),"REVIEW","OK"))</x:f>
        <x:v>OK</x:v>
      </x:c>
    </x:row>
    <x:row r="237">
      <x:c r="A237" s="31" t="n">
        <x:v>236</x:v>
      </x:c>
      <x:c r="B237" s="32" t="n">
        <x:v>46310.36053240741</x:v>
      </x:c>
      <x:c r="C237" s="33" t="n">
        <x:v>24.058</x:v>
      </x:c>
      <x:c r="D237" s="33" t="n">
        <x:v>215.1</x:v>
      </x:c>
      <x:c r="E237" s="33" t="n">
        <x:v>78.382</x:v>
      </x:c>
      <x:c r="F237" s="31" t="str"/>
      <x:c r="G237" s="31" t="str">
        <x:f>IF(C237="","NO DATA",IF(C237&gt;=30,"ALERT","NORMAL"))</x:f>
        <x:v>NORMAL</x:v>
      </x:c>
      <x:c r="H237" s="31" t="str">
        <x:f>IF(C237="","MISSING",IF(C237&gt;=30,"HIGH TEMP","OK"))</x:f>
        <x:v>OK</x:v>
      </x:c>
      <x:c r="I237" s="31" t="str">
        <x:f>IF(E237="","NO DATA",IF(E237&lt;20,"LOW FLOW","OK"))</x:f>
        <x:v>OK</x:v>
      </x:c>
      <x:c r="J237" s="31" t="str">
        <x:f>IF(OR(C237="",D237="",E237=""),"MISSING",IF(OR(C237&lt;0,C237&gt;60,D237&lt;50,D237&gt;400,E237&lt;0,E237&gt;200),"REVIEW","OK"))</x:f>
        <x:v>OK</x:v>
      </x:c>
    </x:row>
    <x:row r="238">
      <x:c r="A238" s="31" t="n">
        <x:v>237</x:v>
      </x:c>
      <x:c r="B238" s="32" t="n">
        <x:v>46310.36064814815</x:v>
      </x:c>
      <x:c r="C238" s="33" t="n">
        <x:v>24.018</x:v>
      </x:c>
      <x:c r="D238" s="33" t="n">
        <x:v>214.289</x:v>
      </x:c>
      <x:c r="E238" s="33" t="n">
        <x:v>79.087</x:v>
      </x:c>
      <x:c r="F238" s="31" t="str"/>
      <x:c r="G238" s="31" t="str">
        <x:f>IF(C238="","NO DATA",IF(C238&gt;=30,"ALERT","NORMAL"))</x:f>
        <x:v>NORMAL</x:v>
      </x:c>
      <x:c r="H238" s="31" t="str">
        <x:f>IF(C238="","MISSING",IF(C238&gt;=30,"HIGH TEMP","OK"))</x:f>
        <x:v>OK</x:v>
      </x:c>
      <x:c r="I238" s="31" t="str">
        <x:f>IF(E238="","NO DATA",IF(E238&lt;20,"LOW FLOW","OK"))</x:f>
        <x:v>OK</x:v>
      </x:c>
      <x:c r="J238" s="31" t="str">
        <x:f>IF(OR(C238="",D238="",E238=""),"MISSING",IF(OR(C238&lt;0,C238&gt;60,D238&lt;50,D238&gt;400,E238&lt;0,E238&gt;200),"REVIEW","OK"))</x:f>
        <x:v>OK</x:v>
      </x:c>
    </x:row>
    <x:row r="239">
      <x:c r="A239" s="31" t="n">
        <x:v>238</x:v>
      </x:c>
      <x:c r="B239" s="32" t="n">
        <x:v>46310.360763888886</x:v>
      </x:c>
      <x:c r="C239" s="33" t="n">
        <x:v>23.85</x:v>
      </x:c>
      <x:c r="D239" s="33" t="n">
        <x:v>213.457</x:v>
      </x:c>
      <x:c r="E239" s="33" t="n">
        <x:v>78.674</x:v>
      </x:c>
      <x:c r="F239" s="31" t="str"/>
      <x:c r="G239" s="31" t="str">
        <x:f>IF(C239="","NO DATA",IF(C239&gt;=30,"ALERT","NORMAL"))</x:f>
        <x:v>NORMAL</x:v>
      </x:c>
      <x:c r="H239" s="31" t="str">
        <x:f>IF(C239="","MISSING",IF(C239&gt;=30,"HIGH TEMP","OK"))</x:f>
        <x:v>OK</x:v>
      </x:c>
      <x:c r="I239" s="31" t="str">
        <x:f>IF(E239="","NO DATA",IF(E239&lt;20,"LOW FLOW","OK"))</x:f>
        <x:v>OK</x:v>
      </x:c>
      <x:c r="J239" s="31" t="str">
        <x:f>IF(OR(C239="",D239="",E239=""),"MISSING",IF(OR(C239&lt;0,C239&gt;60,D239&lt;50,D239&gt;400,E239&lt;0,E239&gt;200),"REVIEW","OK"))</x:f>
        <x:v>OK</x:v>
      </x:c>
    </x:row>
    <x:row r="240">
      <x:c r="A240" s="31" t="n">
        <x:v>239</x:v>
      </x:c>
      <x:c r="B240" s="32" t="n">
        <x:v>46310.36087962963</x:v>
      </x:c>
      <x:c r="C240" s="33" t="n">
        <x:v>24.004</x:v>
      </x:c>
      <x:c r="D240" s="33" t="n">
        <x:v>215.011</x:v>
      </x:c>
      <x:c r="E240" s="33" t="n">
        <x:v>78.639</x:v>
      </x:c>
      <x:c r="F240" s="31" t="str"/>
      <x:c r="G240" s="31" t="str">
        <x:f>IF(C240="","NO DATA",IF(C240&gt;=30,"ALERT","NORMAL"))</x:f>
        <x:v>NORMAL</x:v>
      </x:c>
      <x:c r="H240" s="31" t="str">
        <x:f>IF(C240="","MISSING",IF(C240&gt;=30,"HIGH TEMP","OK"))</x:f>
        <x:v>OK</x:v>
      </x:c>
      <x:c r="I240" s="31" t="str">
        <x:f>IF(E240="","NO DATA",IF(E240&lt;20,"LOW FLOW","OK"))</x:f>
        <x:v>OK</x:v>
      </x:c>
      <x:c r="J240" s="31" t="str">
        <x:f>IF(OR(C240="",D240="",E240=""),"MISSING",IF(OR(C240&lt;0,C240&gt;60,D240&lt;50,D240&gt;400,E240&lt;0,E240&gt;200),"REVIEW","OK"))</x:f>
        <x:v>OK</x:v>
      </x:c>
    </x:row>
    <x:row r="241">
      <x:c r="A241" s="31" t="n">
        <x:v>240</x:v>
      </x:c>
      <x:c r="B241" s="32" t="n">
        <x:v>46310.36099537037</x:v>
      </x:c>
      <x:c r="C241" s="33" t="n">
        <x:v>23.991</x:v>
      </x:c>
      <x:c r="D241" s="33" t="n">
        <x:v>213.323</x:v>
      </x:c>
      <x:c r="E241" s="33" t="n">
        <x:v>80.095</x:v>
      </x:c>
      <x:c r="F241" s="31" t="str"/>
      <x:c r="G241" s="31" t="str">
        <x:f>IF(C241="","NO DATA",IF(C241&gt;=30,"ALERT","NORMAL"))</x:f>
        <x:v>NORMAL</x:v>
      </x:c>
      <x:c r="H241" s="31" t="str">
        <x:f>IF(C241="","MISSING",IF(C241&gt;=30,"HIGH TEMP","OK"))</x:f>
        <x:v>OK</x:v>
      </x:c>
      <x:c r="I241" s="31" t="str">
        <x:f>IF(E241="","NO DATA",IF(E241&lt;20,"LOW FLOW","OK"))</x:f>
        <x:v>OK</x:v>
      </x:c>
      <x:c r="J241" s="31" t="str">
        <x:f>IF(OR(C241="",D241="",E241=""),"MISSING",IF(OR(C241&lt;0,C241&gt;60,D241&lt;50,D241&gt;400,E241&lt;0,E241&gt;200),"REVIEW","OK"))</x:f>
        <x:v>OK</x:v>
      </x:c>
    </x:row>
    <x:row r="242">
      <x:c r="A242" s="31" t="n">
        <x:v>241</x:v>
      </x:c>
      <x:c r="B242" s="32" t="n">
        <x:v>46310.36111111111</x:v>
      </x:c>
      <x:c r="C242" s="33" t="n">
        <x:v>24.007</x:v>
      </x:c>
      <x:c r="D242" s="33" t="n">
        <x:v>214.125</x:v>
      </x:c>
      <x:c r="E242" s="33" t="n">
        <x:v>78.903</x:v>
      </x:c>
      <x:c r="F242" s="31" t="str"/>
      <x:c r="G242" s="31" t="str">
        <x:f>IF(C242="","NO DATA",IF(C242&gt;=30,"ALERT","NORMAL"))</x:f>
        <x:v>NORMAL</x:v>
      </x:c>
      <x:c r="H242" s="31" t="str">
        <x:f>IF(C242="","MISSING",IF(C242&gt;=30,"HIGH TEMP","OK"))</x:f>
        <x:v>OK</x:v>
      </x:c>
      <x:c r="I242" s="31" t="str">
        <x:f>IF(E242="","NO DATA",IF(E242&lt;20,"LOW FLOW","OK"))</x:f>
        <x:v>OK</x:v>
      </x:c>
      <x:c r="J242" s="31" t="str">
        <x:f>IF(OR(C242="",D242="",E242=""),"MISSING",IF(OR(C242&lt;0,C242&gt;60,D242&lt;50,D242&gt;400,E242&lt;0,E242&gt;200),"REVIEW","OK"))</x:f>
        <x:v>OK</x:v>
      </x:c>
    </x:row>
    <x:row r="243">
      <x:c r="A243" s="31" t="n">
        <x:v>242</x:v>
      </x:c>
      <x:c r="B243" s="32" t="n">
        <x:v>46310.361226851855</x:v>
      </x:c>
      <x:c r="C243" s="33" t="n">
        <x:v>23.838</x:v>
      </x:c>
      <x:c r="D243" s="33" t="n">
        <x:v>213.457</x:v>
      </x:c>
      <x:c r="E243" s="33" t="n">
        <x:v>80.131</x:v>
      </x:c>
      <x:c r="F243" s="31" t="str"/>
      <x:c r="G243" s="31" t="str">
        <x:f>IF(C243="","NO DATA",IF(C243&gt;=30,"ALERT","NORMAL"))</x:f>
        <x:v>NORMAL</x:v>
      </x:c>
      <x:c r="H243" s="31" t="str">
        <x:f>IF(C243="","MISSING",IF(C243&gt;=30,"HIGH TEMP","OK"))</x:f>
        <x:v>OK</x:v>
      </x:c>
      <x:c r="I243" s="31" t="str">
        <x:f>IF(E243="","NO DATA",IF(E243&lt;20,"LOW FLOW","OK"))</x:f>
        <x:v>OK</x:v>
      </x:c>
      <x:c r="J243" s="31" t="str">
        <x:f>IF(OR(C243="",D243="",E243=""),"MISSING",IF(OR(C243&lt;0,C243&gt;60,D243&lt;50,D243&gt;400,E243&lt;0,E243&gt;200),"REVIEW","OK"))</x:f>
        <x:v>OK</x:v>
      </x:c>
    </x:row>
    <x:row r="244">
      <x:c r="A244" s="31" t="n">
        <x:v>243</x:v>
      </x:c>
      <x:c r="B244" s="32" t="n">
        <x:v>46310.361342592594</x:v>
      </x:c>
      <x:c r="C244" s="33" t="n">
        <x:v>23.845</x:v>
      </x:c>
      <x:c r="D244" s="33" t="n">
        <x:v>214.039</x:v>
      </x:c>
      <x:c r="E244" s="33" t="n">
        <x:v>80.172</x:v>
      </x:c>
      <x:c r="F244" s="31" t="str"/>
      <x:c r="G244" s="31" t="str">
        <x:f>IF(C244="","NO DATA",IF(C244&gt;=30,"ALERT","NORMAL"))</x:f>
        <x:v>NORMAL</x:v>
      </x:c>
      <x:c r="H244" s="31" t="str">
        <x:f>IF(C244="","MISSING",IF(C244&gt;=30,"HIGH TEMP","OK"))</x:f>
        <x:v>OK</x:v>
      </x:c>
      <x:c r="I244" s="31" t="str">
        <x:f>IF(E244="","NO DATA",IF(E244&lt;20,"LOW FLOW","OK"))</x:f>
        <x:v>OK</x:v>
      </x:c>
      <x:c r="J244" s="31" t="str">
        <x:f>IF(OR(C244="",D244="",E244=""),"MISSING",IF(OR(C244&lt;0,C244&gt;60,D244&lt;50,D244&gt;400,E244&lt;0,E244&gt;200),"REVIEW","OK"))</x:f>
        <x:v>OK</x:v>
      </x:c>
    </x:row>
    <x:row r="245">
      <x:c r="A245" s="31" t="n">
        <x:v>244</x:v>
      </x:c>
      <x:c r="B245" s="32" t="n">
        <x:v>46310.36145833333</x:v>
      </x:c>
      <x:c r="C245" s="33" t="n">
        <x:v>23.902</x:v>
      </x:c>
      <x:c r="D245" s="33" t="n">
        <x:v>214.127</x:v>
      </x:c>
      <x:c r="E245" s="33" t="n">
        <x:v>78.796</x:v>
      </x:c>
      <x:c r="F245" s="31" t="str"/>
      <x:c r="G245" s="31" t="str">
        <x:f>IF(C245="","NO DATA",IF(C245&gt;=30,"ALERT","NORMAL"))</x:f>
        <x:v>NORMAL</x:v>
      </x:c>
      <x:c r="H245" s="31" t="str">
        <x:f>IF(C245="","MISSING",IF(C245&gt;=30,"HIGH TEMP","OK"))</x:f>
        <x:v>OK</x:v>
      </x:c>
      <x:c r="I245" s="31" t="str">
        <x:f>IF(E245="","NO DATA",IF(E245&lt;20,"LOW FLOW","OK"))</x:f>
        <x:v>OK</x:v>
      </x:c>
      <x:c r="J245" s="31" t="str">
        <x:f>IF(OR(C245="",D245="",E245=""),"MISSING",IF(OR(C245&lt;0,C245&gt;60,D245&lt;50,D245&gt;400,E245&lt;0,E245&gt;200),"REVIEW","OK"))</x:f>
        <x:v>OK</x:v>
      </x:c>
    </x:row>
    <x:row r="246">
      <x:c r="A246" s="31" t="n">
        <x:v>245</x:v>
      </x:c>
      <x:c r="B246" s="32" t="n">
        <x:v>46310.36157407407</x:v>
      </x:c>
      <x:c r="C246" s="33" t="n">
        <x:v>23.742</x:v>
      </x:c>
      <x:c r="D246" s="33" t="n">
        <x:v>213.585</x:v>
      </x:c>
      <x:c r="E246" s="33" t="n">
        <x:v>79.629</x:v>
      </x:c>
      <x:c r="F246" s="31" t="str"/>
      <x:c r="G246" s="31" t="str">
        <x:f>IF(C246="","NO DATA",IF(C246&gt;=30,"ALERT","NORMAL"))</x:f>
        <x:v>NORMAL</x:v>
      </x:c>
      <x:c r="H246" s="31" t="str">
        <x:f>IF(C246="","MISSING",IF(C246&gt;=30,"HIGH TEMP","OK"))</x:f>
        <x:v>OK</x:v>
      </x:c>
      <x:c r="I246" s="31" t="str">
        <x:f>IF(E246="","NO DATA",IF(E246&lt;20,"LOW FLOW","OK"))</x:f>
        <x:v>OK</x:v>
      </x:c>
      <x:c r="J246" s="31" t="str">
        <x:f>IF(OR(C246="",D246="",E246=""),"MISSING",IF(OR(C246&lt;0,C246&gt;60,D246&lt;50,D246&gt;400,E246&lt;0,E246&gt;200),"REVIEW","OK"))</x:f>
        <x:v>OK</x:v>
      </x:c>
    </x:row>
    <x:row r="247">
      <x:c r="A247" s="31" t="n">
        <x:v>246</x:v>
      </x:c>
      <x:c r="B247" s="32" t="n">
        <x:v>46310.36168981482</x:v>
      </x:c>
      <x:c r="C247" s="33" t="n">
        <x:v>23.854</x:v>
      </x:c>
      <x:c r="D247" s="33" t="n">
        <x:v>214.775</x:v>
      </x:c>
      <x:c r="E247" s="33" t="n">
        <x:v>78.318</x:v>
      </x:c>
      <x:c r="F247" s="31" t="str"/>
      <x:c r="G247" s="31" t="str">
        <x:f>IF(C247="","NO DATA",IF(C247&gt;=30,"ALERT","NORMAL"))</x:f>
        <x:v>NORMAL</x:v>
      </x:c>
      <x:c r="H247" s="31" t="str">
        <x:f>IF(C247="","MISSING",IF(C247&gt;=30,"HIGH TEMP","OK"))</x:f>
        <x:v>OK</x:v>
      </x:c>
      <x:c r="I247" s="31" t="str">
        <x:f>IF(E247="","NO DATA",IF(E247&lt;20,"LOW FLOW","OK"))</x:f>
        <x:v>OK</x:v>
      </x:c>
      <x:c r="J247" s="31" t="str">
        <x:f>IF(OR(C247="",D247="",E247=""),"MISSING",IF(OR(C247&lt;0,C247&gt;60,D247&lt;50,D247&gt;400,E247&lt;0,E247&gt;200),"REVIEW","OK"))</x:f>
        <x:v>OK</x:v>
      </x:c>
    </x:row>
    <x:row r="248">
      <x:c r="A248" s="31" t="n">
        <x:v>247</x:v>
      </x:c>
      <x:c r="B248" s="32" t="n">
        <x:v>46310.361805555556</x:v>
      </x:c>
      <x:c r="C248" s="33" t="n">
        <x:v>23.813</x:v>
      </x:c>
      <x:c r="D248" s="33" t="n">
        <x:v>215.27</x:v>
      </x:c>
      <x:c r="E248" s="33" t="n">
        <x:v>78.903</x:v>
      </x:c>
      <x:c r="F248" s="31" t="str"/>
      <x:c r="G248" s="31" t="str">
        <x:f>IF(C248="","NO DATA",IF(C248&gt;=30,"ALERT","NORMAL"))</x:f>
        <x:v>NORMAL</x:v>
      </x:c>
      <x:c r="H248" s="31" t="str">
        <x:f>IF(C248="","MISSING",IF(C248&gt;=30,"HIGH TEMP","OK"))</x:f>
        <x:v>OK</x:v>
      </x:c>
      <x:c r="I248" s="31" t="str">
        <x:f>IF(E248="","NO DATA",IF(E248&lt;20,"LOW FLOW","OK"))</x:f>
        <x:v>OK</x:v>
      </x:c>
      <x:c r="J248" s="31" t="str">
        <x:f>IF(OR(C248="",D248="",E248=""),"MISSING",IF(OR(C248&lt;0,C248&gt;60,D248&lt;50,D248&gt;400,E248&lt;0,E248&gt;200),"REVIEW","OK"))</x:f>
        <x:v>OK</x:v>
      </x:c>
    </x:row>
    <x:row r="249">
      <x:c r="A249" s="31" t="n">
        <x:v>248</x:v>
      </x:c>
      <x:c r="B249" s="32" t="n">
        <x:v>46310.361921296295</x:v>
      </x:c>
      <x:c r="C249" s="33" t="n">
        <x:v>23.84</x:v>
      </x:c>
      <x:c r="D249" s="33" t="n">
        <x:v>212.838</x:v>
      </x:c>
      <x:c r="E249" s="33" t="n">
        <x:v>80.216</x:v>
      </x:c>
      <x:c r="F249" s="31" t="str"/>
      <x:c r="G249" s="31" t="str">
        <x:f>IF(C249="","NO DATA",IF(C249&gt;=30,"ALERT","NORMAL"))</x:f>
        <x:v>NORMAL</x:v>
      </x:c>
      <x:c r="H249" s="31" t="str">
        <x:f>IF(C249="","MISSING",IF(C249&gt;=30,"HIGH TEMP","OK"))</x:f>
        <x:v>OK</x:v>
      </x:c>
      <x:c r="I249" s="31" t="str">
        <x:f>IF(E249="","NO DATA",IF(E249&lt;20,"LOW FLOW","OK"))</x:f>
        <x:v>OK</x:v>
      </x:c>
      <x:c r="J249" s="31" t="str">
        <x:f>IF(OR(C249="",D249="",E249=""),"MISSING",IF(OR(C249&lt;0,C249&gt;60,D249&lt;50,D249&gt;400,E249&lt;0,E249&gt;200),"REVIEW","OK"))</x:f>
        <x:v>OK</x:v>
      </x:c>
    </x:row>
    <x:row r="250">
      <x:c r="A250" s="31" t="n">
        <x:v>249</x:v>
      </x:c>
      <x:c r="B250" s="32" t="n">
        <x:v>46310.36203703703</x:v>
      </x:c>
      <x:c r="C250" s="33" t="n">
        <x:v>23.795</x:v>
      </x:c>
      <x:c r="D250" s="33" t="n">
        <x:v>213.175</x:v>
      </x:c>
      <x:c r="E250" s="33" t="n">
        <x:v>78.295</x:v>
      </x:c>
      <x:c r="F250" s="31" t="str"/>
      <x:c r="G250" s="31" t="str">
        <x:f>IF(C250="","NO DATA",IF(C250&gt;=30,"ALERT","NORMAL"))</x:f>
        <x:v>NORMAL</x:v>
      </x:c>
      <x:c r="H250" s="31" t="str">
        <x:f>IF(C250="","MISSING",IF(C250&gt;=30,"HIGH TEMP","OK"))</x:f>
        <x:v>OK</x:v>
      </x:c>
      <x:c r="I250" s="31" t="str">
        <x:f>IF(E250="","NO DATA",IF(E250&lt;20,"LOW FLOW","OK"))</x:f>
        <x:v>OK</x:v>
      </x:c>
      <x:c r="J250" s="31" t="str">
        <x:f>IF(OR(C250="",D250="",E250=""),"MISSING",IF(OR(C250&lt;0,C250&gt;60,D250&lt;50,D250&gt;400,E250&lt;0,E250&gt;200),"REVIEW","OK"))</x:f>
        <x:v>OK</x:v>
      </x:c>
    </x:row>
    <x:row r="251">
      <x:c r="A251" s="31" t="n">
        <x:v>250</x:v>
      </x:c>
      <x:c r="B251" s="32" t="n">
        <x:v>46310.36215277778</x:v>
      </x:c>
      <x:c r="C251" s="33" t="n">
        <x:v>23.76</x:v>
      </x:c>
      <x:c r="D251" s="33" t="n">
        <x:v>214.093</x:v>
      </x:c>
      <x:c r="E251" s="33" t="n">
        <x:v>78.178</x:v>
      </x:c>
      <x:c r="F251" s="31" t="str"/>
      <x:c r="G251" s="31" t="str">
        <x:f>IF(C251="","NO DATA",IF(C251&gt;=30,"ALERT","NORMAL"))</x:f>
        <x:v>NORMAL</x:v>
      </x:c>
      <x:c r="H251" s="31" t="str">
        <x:f>IF(C251="","MISSING",IF(C251&gt;=30,"HIGH TEMP","OK"))</x:f>
        <x:v>OK</x:v>
      </x:c>
      <x:c r="I251" s="31" t="str">
        <x:f>IF(E251="","NO DATA",IF(E251&lt;20,"LOW FLOW","OK"))</x:f>
        <x:v>OK</x:v>
      </x:c>
      <x:c r="J251" s="31" t="str">
        <x:f>IF(OR(C251="",D251="",E251=""),"MISSING",IF(OR(C251&lt;0,C251&gt;60,D251&lt;50,D251&gt;400,E251&lt;0,E251&gt;200),"REVIEW","OK"))</x:f>
        <x:v>OK</x:v>
      </x:c>
    </x:row>
    <x:row r="252">
      <x:c r="A252" s="31" t="n">
        <x:v>251</x:v>
      </x:c>
      <x:c r="B252" s="32" t="n">
        <x:v>46310.36226851852</x:v>
      </x:c>
      <x:c r="C252" s="33" t="n">
        <x:v>23.876</x:v>
      </x:c>
      <x:c r="D252" s="33" t="n">
        <x:v>215.15</x:v>
      </x:c>
      <x:c r="E252" s="33" t="n">
        <x:v>79.108</x:v>
      </x:c>
      <x:c r="F252" s="31" t="str"/>
      <x:c r="G252" s="31" t="str">
        <x:f>IF(C252="","NO DATA",IF(C252&gt;=30,"ALERT","NORMAL"))</x:f>
        <x:v>NORMAL</x:v>
      </x:c>
      <x:c r="H252" s="31" t="str">
        <x:f>IF(C252="","MISSING",IF(C252&gt;=30,"HIGH TEMP","OK"))</x:f>
        <x:v>OK</x:v>
      </x:c>
      <x:c r="I252" s="31" t="str">
        <x:f>IF(E252="","NO DATA",IF(E252&lt;20,"LOW FLOW","OK"))</x:f>
        <x:v>OK</x:v>
      </x:c>
      <x:c r="J252" s="31" t="str">
        <x:f>IF(OR(C252="",D252="",E252=""),"MISSING",IF(OR(C252&lt;0,C252&gt;60,D252&lt;50,D252&gt;400,E252&lt;0,E252&gt;200),"REVIEW","OK"))</x:f>
        <x:v>OK</x:v>
      </x:c>
    </x:row>
    <x:row r="253">
      <x:c r="A253" s="31" t="n">
        <x:v>252</x:v>
      </x:c>
      <x:c r="B253" s="32" t="n">
        <x:v>46310.36238425926</x:v>
      </x:c>
      <x:c r="C253" s="33" t="n">
        <x:v>23.597</x:v>
      </x:c>
      <x:c r="D253" s="33" t="n">
        <x:v>214.879</x:v>
      </x:c>
      <x:c r="E253" s="33" t="n">
        <x:v>79.249</x:v>
      </x:c>
      <x:c r="F253" s="31" t="str"/>
      <x:c r="G253" s="31" t="str">
        <x:f>IF(C253="","NO DATA",IF(C253&gt;=30,"ALERT","NORMAL"))</x:f>
        <x:v>NORMAL</x:v>
      </x:c>
      <x:c r="H253" s="31" t="str">
        <x:f>IF(C253="","MISSING",IF(C253&gt;=30,"HIGH TEMP","OK"))</x:f>
        <x:v>OK</x:v>
      </x:c>
      <x:c r="I253" s="31" t="str">
        <x:f>IF(E253="","NO DATA",IF(E253&lt;20,"LOW FLOW","OK"))</x:f>
        <x:v>OK</x:v>
      </x:c>
      <x:c r="J253" s="31" t="str">
        <x:f>IF(OR(C253="",D253="",E253=""),"MISSING",IF(OR(C253&lt;0,C253&gt;60,D253&lt;50,D253&gt;400,E253&lt;0,E253&gt;200),"REVIEW","OK"))</x:f>
        <x:v>OK</x:v>
      </x:c>
    </x:row>
    <x:row r="254">
      <x:c r="A254" s="31" t="n">
        <x:v>253</x:v>
      </x:c>
      <x:c r="B254" s="32" t="n">
        <x:v>46310.3625</x:v>
      </x:c>
      <x:c r="C254" s="33" t="n">
        <x:v>23.76</x:v>
      </x:c>
      <x:c r="D254" s="33" t="n">
        <x:v>213.876</x:v>
      </x:c>
      <x:c r="E254" s="33" t="n">
        <x:v>78.767</x:v>
      </x:c>
      <x:c r="F254" s="31" t="str"/>
      <x:c r="G254" s="31" t="str">
        <x:f>IF(C254="","NO DATA",IF(C254&gt;=30,"ALERT","NORMAL"))</x:f>
        <x:v>NORMAL</x:v>
      </x:c>
      <x:c r="H254" s="31" t="str">
        <x:f>IF(C254="","MISSING",IF(C254&gt;=30,"HIGH TEMP","OK"))</x:f>
        <x:v>OK</x:v>
      </x:c>
      <x:c r="I254" s="31" t="str">
        <x:f>IF(E254="","NO DATA",IF(E254&lt;20,"LOW FLOW","OK"))</x:f>
        <x:v>OK</x:v>
      </x:c>
      <x:c r="J254" s="31" t="str">
        <x:f>IF(OR(C254="",D254="",E254=""),"MISSING",IF(OR(C254&lt;0,C254&gt;60,D254&lt;50,D254&gt;400,E254&lt;0,E254&gt;200),"REVIEW","OK"))</x:f>
        <x:v>OK</x:v>
      </x:c>
    </x:row>
    <x:row r="255">
      <x:c r="A255" s="31" t="n">
        <x:v>254</x:v>
      </x:c>
      <x:c r="B255" s="32" t="n">
        <x:v>46310.36261574074</x:v>
      </x:c>
      <x:c r="C255" s="33" t="n">
        <x:v>23.78</x:v>
      </x:c>
      <x:c r="D255" s="33" t="n">
        <x:v>215.253</x:v>
      </x:c>
      <x:c r="E255" s="33" t="n">
        <x:v>78.759</x:v>
      </x:c>
      <x:c r="F255" s="31" t="str"/>
      <x:c r="G255" s="31" t="str">
        <x:f>IF(C255="","NO DATA",IF(C255&gt;=30,"ALERT","NORMAL"))</x:f>
        <x:v>NORMAL</x:v>
      </x:c>
      <x:c r="H255" s="31" t="str">
        <x:f>IF(C255="","MISSING",IF(C255&gt;=30,"HIGH TEMP","OK"))</x:f>
        <x:v>OK</x:v>
      </x:c>
      <x:c r="I255" s="31" t="str">
        <x:f>IF(E255="","NO DATA",IF(E255&lt;20,"LOW FLOW","OK"))</x:f>
        <x:v>OK</x:v>
      </x:c>
      <x:c r="J255" s="31" t="str">
        <x:f>IF(OR(C255="",D255="",E255=""),"MISSING",IF(OR(C255&lt;0,C255&gt;60,D255&lt;50,D255&gt;400,E255&lt;0,E255&gt;200),"REVIEW","OK"))</x:f>
        <x:v>OK</x:v>
      </x:c>
    </x:row>
    <x:row r="256">
      <x:c r="A256" s="31" t="n">
        <x:v>255</x:v>
      </x:c>
      <x:c r="B256" s="32" t="n">
        <x:v>46310.36273148148</x:v>
      </x:c>
      <x:c r="C256" s="33" t="n">
        <x:v>23.68</x:v>
      </x:c>
      <x:c r="D256" s="33" t="n">
        <x:v>213.422</x:v>
      </x:c>
      <x:c r="E256" s="33" t="n">
        <x:v>80.455</x:v>
      </x:c>
      <x:c r="F256" s="31" t="str"/>
      <x:c r="G256" s="31" t="str">
        <x:f>IF(C256="","NO DATA",IF(C256&gt;=30,"ALERT","NORMAL"))</x:f>
        <x:v>NORMAL</x:v>
      </x:c>
      <x:c r="H256" s="31" t="str">
        <x:f>IF(C256="","MISSING",IF(C256&gt;=30,"HIGH TEMP","OK"))</x:f>
        <x:v>OK</x:v>
      </x:c>
      <x:c r="I256" s="31" t="str">
        <x:f>IF(E256="","NO DATA",IF(E256&lt;20,"LOW FLOW","OK"))</x:f>
        <x:v>OK</x:v>
      </x:c>
      <x:c r="J256" s="31" t="str">
        <x:f>IF(OR(C256="",D256="",E256=""),"MISSING",IF(OR(C256&lt;0,C256&gt;60,D256&lt;50,D256&gt;400,E256&lt;0,E256&gt;200),"REVIEW","OK"))</x:f>
        <x:v>OK</x:v>
      </x:c>
    </x:row>
    <x:row r="257">
      <x:c r="A257" s="31" t="n">
        <x:v>256</x:v>
      </x:c>
      <x:c r="B257" s="32" t="n">
        <x:v>46310.36284722222</x:v>
      </x:c>
      <x:c r="C257" s="33" t="n">
        <x:v>23.653</x:v>
      </x:c>
      <x:c r="D257" s="33" t="n">
        <x:v>214.865</x:v>
      </x:c>
      <x:c r="E257" s="33" t="n">
        <x:v>80.39</x:v>
      </x:c>
      <x:c r="F257" s="31" t="str"/>
      <x:c r="G257" s="31" t="str">
        <x:f>IF(C257="","NO DATA",IF(C257&gt;=30,"ALERT","NORMAL"))</x:f>
        <x:v>NORMAL</x:v>
      </x:c>
      <x:c r="H257" s="31" t="str">
        <x:f>IF(C257="","MISSING",IF(C257&gt;=30,"HIGH TEMP","OK"))</x:f>
        <x:v>OK</x:v>
      </x:c>
      <x:c r="I257" s="31" t="str">
        <x:f>IF(E257="","NO DATA",IF(E257&lt;20,"LOW FLOW","OK"))</x:f>
        <x:v>OK</x:v>
      </x:c>
      <x:c r="J257" s="31" t="str">
        <x:f>IF(OR(C257="",D257="",E257=""),"MISSING",IF(OR(C257&lt;0,C257&gt;60,D257&lt;50,D257&gt;400,E257&lt;0,E257&gt;200),"REVIEW","OK"))</x:f>
        <x:v>OK</x:v>
      </x:c>
    </x:row>
    <x:row r="258">
      <x:c r="A258" s="31" t="n">
        <x:v>257</x:v>
      </x:c>
      <x:c r="B258" s="32" t="n">
        <x:v>46310.362962962965</x:v>
      </x:c>
      <x:c r="C258" s="33" t="n">
        <x:v>23.569</x:v>
      </x:c>
      <x:c r="D258" s="33" t="n">
        <x:v>214.548</x:v>
      </x:c>
      <x:c r="E258" s="33" t="n">
        <x:v>79.391</x:v>
      </x:c>
      <x:c r="F258" s="31" t="str"/>
      <x:c r="G258" s="31" t="str">
        <x:f>IF(C258="","NO DATA",IF(C258&gt;=30,"ALERT","NORMAL"))</x:f>
        <x:v>NORMAL</x:v>
      </x:c>
      <x:c r="H258" s="31" t="str">
        <x:f>IF(C258="","MISSING",IF(C258&gt;=30,"HIGH TEMP","OK"))</x:f>
        <x:v>OK</x:v>
      </x:c>
      <x:c r="I258" s="31" t="str">
        <x:f>IF(E258="","NO DATA",IF(E258&lt;20,"LOW FLOW","OK"))</x:f>
        <x:v>OK</x:v>
      </x:c>
      <x:c r="J258" s="31" t="str">
        <x:f>IF(OR(C258="",D258="",E258=""),"MISSING",IF(OR(C258&lt;0,C258&gt;60,D258&lt;50,D258&gt;400,E258&lt;0,E258&gt;200),"REVIEW","OK"))</x:f>
        <x:v>OK</x:v>
      </x:c>
    </x:row>
    <x:row r="259">
      <x:c r="A259" s="31" t="n">
        <x:v>258</x:v>
      </x:c>
      <x:c r="B259" s="32" t="n">
        <x:v>46310.363078703704</x:v>
      </x:c>
      <x:c r="C259" s="33" t="n">
        <x:v>23.753</x:v>
      </x:c>
      <x:c r="D259" s="33" t="n">
        <x:v>213.648</x:v>
      </x:c>
      <x:c r="E259" s="33" t="n">
        <x:v>80.448</x:v>
      </x:c>
      <x:c r="F259" s="31" t="str"/>
      <x:c r="G259" s="31" t="str">
        <x:f>IF(C259="","NO DATA",IF(C259&gt;=30,"ALERT","NORMAL"))</x:f>
        <x:v>NORMAL</x:v>
      </x:c>
      <x:c r="H259" s="31" t="str">
        <x:f>IF(C259="","MISSING",IF(C259&gt;=30,"HIGH TEMP","OK"))</x:f>
        <x:v>OK</x:v>
      </x:c>
      <x:c r="I259" s="31" t="str">
        <x:f>IF(E259="","NO DATA",IF(E259&lt;20,"LOW FLOW","OK"))</x:f>
        <x:v>OK</x:v>
      </x:c>
      <x:c r="J259" s="31" t="str">
        <x:f>IF(OR(C259="",D259="",E259=""),"MISSING",IF(OR(C259&lt;0,C259&gt;60,D259&lt;50,D259&gt;400,E259&lt;0,E259&gt;200),"REVIEW","OK"))</x:f>
        <x:v>OK</x:v>
      </x:c>
    </x:row>
    <x:row r="260">
      <x:c r="A260" s="31" t="n">
        <x:v>259</x:v>
      </x:c>
      <x:c r="B260" s="32" t="n">
        <x:v>46310.36319444444</x:v>
      </x:c>
      <x:c r="C260" s="33" t="n">
        <x:v>23.545</x:v>
      </x:c>
      <x:c r="D260" s="33" t="n">
        <x:v>212.964</x:v>
      </x:c>
      <x:c r="E260" s="33" t="n">
        <x:v>79.977</x:v>
      </x:c>
      <x:c r="F260" s="31" t="str"/>
      <x:c r="G260" s="31" t="str">
        <x:f>IF(C260="","NO DATA",IF(C260&gt;=30,"ALERT","NORMAL"))</x:f>
        <x:v>NORMAL</x:v>
      </x:c>
      <x:c r="H260" s="31" t="str">
        <x:f>IF(C260="","MISSING",IF(C260&gt;=30,"HIGH TEMP","OK"))</x:f>
        <x:v>OK</x:v>
      </x:c>
      <x:c r="I260" s="31" t="str">
        <x:f>IF(E260="","NO DATA",IF(E260&lt;20,"LOW FLOW","OK"))</x:f>
        <x:v>OK</x:v>
      </x:c>
      <x:c r="J260" s="31" t="str">
        <x:f>IF(OR(C260="",D260="",E260=""),"MISSING",IF(OR(C260&lt;0,C260&gt;60,D260&lt;50,D260&gt;400,E260&lt;0,E260&gt;200),"REVIEW","OK"))</x:f>
        <x:v>OK</x:v>
      </x:c>
    </x:row>
    <x:row r="261">
      <x:c r="A261" s="31" t="n">
        <x:v>260</x:v>
      </x:c>
      <x:c r="B261" s="32" t="n">
        <x:v>46310.36331018519</x:v>
      </x:c>
      <x:c r="C261" s="33" t="n">
        <x:v>23.747</x:v>
      </x:c>
      <x:c r="D261" s="33" t="n">
        <x:v>213.478</x:v>
      </x:c>
      <x:c r="E261" s="33" t="n">
        <x:v>79.018</x:v>
      </x:c>
      <x:c r="F261" s="31" t="str"/>
      <x:c r="G261" s="31" t="str">
        <x:f>IF(C261="","NO DATA",IF(C261&gt;=30,"ALERT","NORMAL"))</x:f>
        <x:v>NORMAL</x:v>
      </x:c>
      <x:c r="H261" s="31" t="str">
        <x:f>IF(C261="","MISSING",IF(C261&gt;=30,"HIGH TEMP","OK"))</x:f>
        <x:v>OK</x:v>
      </x:c>
      <x:c r="I261" s="31" t="str">
        <x:f>IF(E261="","NO DATA",IF(E261&lt;20,"LOW FLOW","OK"))</x:f>
        <x:v>OK</x:v>
      </x:c>
      <x:c r="J261" s="31" t="str">
        <x:f>IF(OR(C261="",D261="",E261=""),"MISSING",IF(OR(C261&lt;0,C261&gt;60,D261&lt;50,D261&gt;400,E261&lt;0,E261&gt;200),"REVIEW","OK"))</x:f>
        <x:v>OK</x:v>
      </x:c>
    </x:row>
    <x:row r="262">
      <x:c r="A262" s="31" t="n">
        <x:v>261</x:v>
      </x:c>
      <x:c r="B262" s="32" t="n">
        <x:v>46310.36342592593</x:v>
      </x:c>
      <x:c r="C262" s="33" t="n">
        <x:v>23.598</x:v>
      </x:c>
      <x:c r="D262" s="33" t="n">
        <x:v>212.98</x:v>
      </x:c>
      <x:c r="E262" s="33" t="n">
        <x:v>80.084</x:v>
      </x:c>
      <x:c r="F262" s="31" t="str"/>
      <x:c r="G262" s="31" t="str">
        <x:f>IF(C262="","NO DATA",IF(C262&gt;=30,"ALERT","NORMAL"))</x:f>
        <x:v>NORMAL</x:v>
      </x:c>
      <x:c r="H262" s="31" t="str">
        <x:f>IF(C262="","MISSING",IF(C262&gt;=30,"HIGH TEMP","OK"))</x:f>
        <x:v>OK</x:v>
      </x:c>
      <x:c r="I262" s="31" t="str">
        <x:f>IF(E262="","NO DATA",IF(E262&lt;20,"LOW FLOW","OK"))</x:f>
        <x:v>OK</x:v>
      </x:c>
      <x:c r="J262" s="31" t="str">
        <x:f>IF(OR(C262="",D262="",E262=""),"MISSING",IF(OR(C262&lt;0,C262&gt;60,D262&lt;50,D262&gt;400,E262&lt;0,E262&gt;200),"REVIEW","OK"))</x:f>
        <x:v>OK</x:v>
      </x:c>
    </x:row>
    <x:row r="263">
      <x:c r="A263" s="31" t="n">
        <x:v>262</x:v>
      </x:c>
      <x:c r="B263" s="32" t="n">
        <x:v>46310.363541666666</x:v>
      </x:c>
      <x:c r="C263" s="33" t="n">
        <x:v>23.588</x:v>
      </x:c>
      <x:c r="D263" s="33" t="n">
        <x:v>213.244</x:v>
      </x:c>
      <x:c r="E263" s="33" t="n">
        <x:v>79.633</x:v>
      </x:c>
      <x:c r="F263" s="31" t="str"/>
      <x:c r="G263" s="31" t="str">
        <x:f>IF(C263="","NO DATA",IF(C263&gt;=30,"ALERT","NORMAL"))</x:f>
        <x:v>NORMAL</x:v>
      </x:c>
      <x:c r="H263" s="31" t="str">
        <x:f>IF(C263="","MISSING",IF(C263&gt;=30,"HIGH TEMP","OK"))</x:f>
        <x:v>OK</x:v>
      </x:c>
      <x:c r="I263" s="31" t="str">
        <x:f>IF(E263="","NO DATA",IF(E263&lt;20,"LOW FLOW","OK"))</x:f>
        <x:v>OK</x:v>
      </x:c>
      <x:c r="J263" s="31" t="str">
        <x:f>IF(OR(C263="",D263="",E263=""),"MISSING",IF(OR(C263&lt;0,C263&gt;60,D263&lt;50,D263&gt;400,E263&lt;0,E263&gt;200),"REVIEW","OK"))</x:f>
        <x:v>OK</x:v>
      </x:c>
    </x:row>
    <x:row r="264">
      <x:c r="A264" s="31" t="n">
        <x:v>263</x:v>
      </x:c>
      <x:c r="B264" s="32" t="n">
        <x:v>46310.363657407404</x:v>
      </x:c>
      <x:c r="C264" s="33" t="n">
        <x:v>23.472</x:v>
      </x:c>
      <x:c r="D264" s="33" t="n">
        <x:v>213.899</x:v>
      </x:c>
      <x:c r="E264" s="33" t="n">
        <x:v>80.339</x:v>
      </x:c>
      <x:c r="F264" s="31" t="str"/>
      <x:c r="G264" s="31" t="str">
        <x:f>IF(C264="","NO DATA",IF(C264&gt;=30,"ALERT","NORMAL"))</x:f>
        <x:v>NORMAL</x:v>
      </x:c>
      <x:c r="H264" s="31" t="str">
        <x:f>IF(C264="","MISSING",IF(C264&gt;=30,"HIGH TEMP","OK"))</x:f>
        <x:v>OK</x:v>
      </x:c>
      <x:c r="I264" s="31" t="str">
        <x:f>IF(E264="","NO DATA",IF(E264&lt;20,"LOW FLOW","OK"))</x:f>
        <x:v>OK</x:v>
      </x:c>
      <x:c r="J264" s="31" t="str">
        <x:f>IF(OR(C264="",D264="",E264=""),"MISSING",IF(OR(C264&lt;0,C264&gt;60,D264&lt;50,D264&gt;400,E264&lt;0,E264&gt;200),"REVIEW","OK"))</x:f>
        <x:v>OK</x:v>
      </x:c>
    </x:row>
    <x:row r="265">
      <x:c r="A265" s="31" t="n">
        <x:v>264</x:v>
      </x:c>
      <x:c r="B265" s="32" t="n">
        <x:v>46310.36377314815</x:v>
      </x:c>
      <x:c r="C265" s="33" t="n">
        <x:v>23.476</x:v>
      </x:c>
      <x:c r="D265" s="33" t="n">
        <x:v>214.059</x:v>
      </x:c>
      <x:c r="E265" s="33" t="n">
        <x:v>79.182</x:v>
      </x:c>
      <x:c r="F265" s="31" t="str"/>
      <x:c r="G265" s="31" t="str">
        <x:f>IF(C265="","NO DATA",IF(C265&gt;=30,"ALERT","NORMAL"))</x:f>
        <x:v>NORMAL</x:v>
      </x:c>
      <x:c r="H265" s="31" t="str">
        <x:f>IF(C265="","MISSING",IF(C265&gt;=30,"HIGH TEMP","OK"))</x:f>
        <x:v>OK</x:v>
      </x:c>
      <x:c r="I265" s="31" t="str">
        <x:f>IF(E265="","NO DATA",IF(E265&lt;20,"LOW FLOW","OK"))</x:f>
        <x:v>OK</x:v>
      </x:c>
      <x:c r="J265" s="31" t="str">
        <x:f>IF(OR(C265="",D265="",E265=""),"MISSING",IF(OR(C265&lt;0,C265&gt;60,D265&lt;50,D265&gt;400,E265&lt;0,E265&gt;200),"REVIEW","OK"))</x:f>
        <x:v>OK</x:v>
      </x:c>
    </x:row>
    <x:row r="266">
      <x:c r="A266" s="31" t="n">
        <x:v>265</x:v>
      </x:c>
      <x:c r="B266" s="32" t="n">
        <x:v>46310.36388888889</x:v>
      </x:c>
      <x:c r="C266" s="33" t="n">
        <x:v>23.62</x:v>
      </x:c>
      <x:c r="D266" s="33" t="n">
        <x:v>213.77</x:v>
      </x:c>
      <x:c r="E266" s="33" t="n">
        <x:v>81.138</x:v>
      </x:c>
      <x:c r="F266" s="31" t="str"/>
      <x:c r="G266" s="31" t="str">
        <x:f>IF(C266="","NO DATA",IF(C266&gt;=30,"ALERT","NORMAL"))</x:f>
        <x:v>NORMAL</x:v>
      </x:c>
      <x:c r="H266" s="31" t="str">
        <x:f>IF(C266="","MISSING",IF(C266&gt;=30,"HIGH TEMP","OK"))</x:f>
        <x:v>OK</x:v>
      </x:c>
      <x:c r="I266" s="31" t="str">
        <x:f>IF(E266="","NO DATA",IF(E266&lt;20,"LOW FLOW","OK"))</x:f>
        <x:v>OK</x:v>
      </x:c>
      <x:c r="J266" s="31" t="str">
        <x:f>IF(OR(C266="",D266="",E266=""),"MISSING",IF(OR(C266&lt;0,C266&gt;60,D266&lt;50,D266&gt;400,E266&lt;0,E266&gt;200),"REVIEW","OK"))</x:f>
        <x:v>OK</x:v>
      </x:c>
    </x:row>
    <x:row r="267">
      <x:c r="A267" s="31" t="n">
        <x:v>266</x:v>
      </x:c>
      <x:c r="B267" s="32" t="n">
        <x:v>46310.36400462963</x:v>
      </x:c>
      <x:c r="C267" s="33" t="n">
        <x:v>23.504</x:v>
      </x:c>
      <x:c r="D267" s="33" t="n">
        <x:v>213.565</x:v>
      </x:c>
      <x:c r="E267" s="33" t="n">
        <x:v>81.277</x:v>
      </x:c>
      <x:c r="F267" s="31" t="str"/>
      <x:c r="G267" s="31" t="str">
        <x:f>IF(C267="","NO DATA",IF(C267&gt;=30,"ALERT","NORMAL"))</x:f>
        <x:v>NORMAL</x:v>
      </x:c>
      <x:c r="H267" s="31" t="str">
        <x:f>IF(C267="","MISSING",IF(C267&gt;=30,"HIGH TEMP","OK"))</x:f>
        <x:v>OK</x:v>
      </x:c>
      <x:c r="I267" s="31" t="str">
        <x:f>IF(E267="","NO DATA",IF(E267&lt;20,"LOW FLOW","OK"))</x:f>
        <x:v>OK</x:v>
      </x:c>
      <x:c r="J267" s="31" t="str">
        <x:f>IF(OR(C267="",D267="",E267=""),"MISSING",IF(OR(C267&lt;0,C267&gt;60,D267&lt;50,D267&gt;400,E267&lt;0,E267&gt;200),"REVIEW","OK"))</x:f>
        <x:v>OK</x:v>
      </x:c>
    </x:row>
    <x:row r="268">
      <x:c r="A268" s="31" t="n">
        <x:v>267</x:v>
      </x:c>
      <x:c r="B268" s="32" t="n">
        <x:v>46310.364120370374</x:v>
      </x:c>
      <x:c r="C268" s="33" t="n">
        <x:v>23.676</x:v>
      </x:c>
      <x:c r="D268" s="33" t="n">
        <x:v>212.976</x:v>
      </x:c>
      <x:c r="E268" s="33" t="n">
        <x:v>79.516</x:v>
      </x:c>
      <x:c r="F268" s="31" t="str"/>
      <x:c r="G268" s="31" t="str">
        <x:f>IF(C268="","NO DATA",IF(C268&gt;=30,"ALERT","NORMAL"))</x:f>
        <x:v>NORMAL</x:v>
      </x:c>
      <x:c r="H268" s="31" t="str">
        <x:f>IF(C268="","MISSING",IF(C268&gt;=30,"HIGH TEMP","OK"))</x:f>
        <x:v>OK</x:v>
      </x:c>
      <x:c r="I268" s="31" t="str">
        <x:f>IF(E268="","NO DATA",IF(E268&lt;20,"LOW FLOW","OK"))</x:f>
        <x:v>OK</x:v>
      </x:c>
      <x:c r="J268" s="31" t="str">
        <x:f>IF(OR(C268="",D268="",E268=""),"MISSING",IF(OR(C268&lt;0,C268&gt;60,D268&lt;50,D268&gt;400,E268&lt;0,E268&gt;200),"REVIEW","OK"))</x:f>
        <x:v>OK</x:v>
      </x:c>
    </x:row>
    <x:row r="269">
      <x:c r="A269" s="31" t="n">
        <x:v>268</x:v>
      </x:c>
      <x:c r="B269" s="32" t="n">
        <x:v>46310.36423611111</x:v>
      </x:c>
      <x:c r="C269" s="33" t="n">
        <x:v>23.525</x:v>
      </x:c>
      <x:c r="D269" s="33" t="n">
        <x:v>213.173</x:v>
      </x:c>
      <x:c r="E269" s="33" t="n">
        <x:v>81.637</x:v>
      </x:c>
      <x:c r="F269" s="31" t="str"/>
      <x:c r="G269" s="31" t="str">
        <x:f>IF(C269="","NO DATA",IF(C269&gt;=30,"ALERT","NORMAL"))</x:f>
        <x:v>NORMAL</x:v>
      </x:c>
      <x:c r="H269" s="31" t="str">
        <x:f>IF(C269="","MISSING",IF(C269&gt;=30,"HIGH TEMP","OK"))</x:f>
        <x:v>OK</x:v>
      </x:c>
      <x:c r="I269" s="31" t="str">
        <x:f>IF(E269="","NO DATA",IF(E269&lt;20,"LOW FLOW","OK"))</x:f>
        <x:v>OK</x:v>
      </x:c>
      <x:c r="J269" s="31" t="str">
        <x:f>IF(OR(C269="",D269="",E269=""),"MISSING",IF(OR(C269&lt;0,C269&gt;60,D269&lt;50,D269&gt;400,E269&lt;0,E269&gt;200),"REVIEW","OK"))</x:f>
        <x:v>OK</x:v>
      </x:c>
    </x:row>
    <x:row r="270">
      <x:c r="A270" s="31" t="n">
        <x:v>269</x:v>
      </x:c>
      <x:c r="B270" s="32" t="n">
        <x:v>46310.36435185185</x:v>
      </x:c>
      <x:c r="C270" s="33" t="n">
        <x:v>23.631</x:v>
      </x:c>
      <x:c r="D270" s="33" t="n">
        <x:v>212.633</x:v>
      </x:c>
      <x:c r="E270" s="33" t="n">
        <x:v>80.937</x:v>
      </x:c>
      <x:c r="F270" s="31" t="str"/>
      <x:c r="G270" s="31" t="str">
        <x:f>IF(C270="","NO DATA",IF(C270&gt;=30,"ALERT","NORMAL"))</x:f>
        <x:v>NORMAL</x:v>
      </x:c>
      <x:c r="H270" s="31" t="str">
        <x:f>IF(C270="","MISSING",IF(C270&gt;=30,"HIGH TEMP","OK"))</x:f>
        <x:v>OK</x:v>
      </x:c>
      <x:c r="I270" s="31" t="str">
        <x:f>IF(E270="","NO DATA",IF(E270&lt;20,"LOW FLOW","OK"))</x:f>
        <x:v>OK</x:v>
      </x:c>
      <x:c r="J270" s="31" t="str">
        <x:f>IF(OR(C270="",D270="",E270=""),"MISSING",IF(OR(C270&lt;0,C270&gt;60,D270&lt;50,D270&gt;400,E270&lt;0,E270&gt;200),"REVIEW","OK"))</x:f>
        <x:v>OK</x:v>
      </x:c>
    </x:row>
    <x:row r="271">
      <x:c r="A271" s="31" t="n">
        <x:v>270</x:v>
      </x:c>
      <x:c r="B271" s="32" t="n">
        <x:v>46310.36446759259</x:v>
      </x:c>
      <x:c r="C271" s="33" t="n">
        <x:v>23.501</x:v>
      </x:c>
      <x:c r="D271" s="33" t="n">
        <x:v>213.386</x:v>
      </x:c>
      <x:c r="E271" s="33" t="n">
        <x:v>80.786</x:v>
      </x:c>
      <x:c r="F271" s="31" t="str"/>
      <x:c r="G271" s="31" t="str">
        <x:f>IF(C271="","NO DATA",IF(C271&gt;=30,"ALERT","NORMAL"))</x:f>
        <x:v>NORMAL</x:v>
      </x:c>
      <x:c r="H271" s="31" t="str">
        <x:f>IF(C271="","MISSING",IF(C271&gt;=30,"HIGH TEMP","OK"))</x:f>
        <x:v>OK</x:v>
      </x:c>
      <x:c r="I271" s="31" t="str">
        <x:f>IF(E271="","NO DATA",IF(E271&lt;20,"LOW FLOW","OK"))</x:f>
        <x:v>OK</x:v>
      </x:c>
      <x:c r="J271" s="31" t="str">
        <x:f>IF(OR(C271="",D271="",E271=""),"MISSING",IF(OR(C271&lt;0,C271&gt;60,D271&lt;50,D271&gt;400,E271&lt;0,E271&gt;200),"REVIEW","OK"))</x:f>
        <x:v>OK</x:v>
      </x:c>
    </x:row>
    <x:row r="272">
      <x:c r="A272" s="31" t="n">
        <x:v>271</x:v>
      </x:c>
      <x:c r="B272" s="32" t="n">
        <x:v>46310.364583333336</x:v>
      </x:c>
      <x:c r="C272" s="33" t="n">
        <x:v>23.556</x:v>
      </x:c>
      <x:c r="D272" s="33" t="n">
        <x:v>211.586</x:v>
      </x:c>
      <x:c r="E272" s="33" t="n">
        <x:v>81.058</x:v>
      </x:c>
      <x:c r="F272" s="31" t="str"/>
      <x:c r="G272" s="31" t="str">
        <x:f>IF(C272="","NO DATA",IF(C272&gt;=30,"ALERT","NORMAL"))</x:f>
        <x:v>NORMAL</x:v>
      </x:c>
      <x:c r="H272" s="31" t="str">
        <x:f>IF(C272="","MISSING",IF(C272&gt;=30,"HIGH TEMP","OK"))</x:f>
        <x:v>OK</x:v>
      </x:c>
      <x:c r="I272" s="31" t="str">
        <x:f>IF(E272="","NO DATA",IF(E272&lt;20,"LOW FLOW","OK"))</x:f>
        <x:v>OK</x:v>
      </x:c>
      <x:c r="J272" s="31" t="str">
        <x:f>IF(OR(C272="",D272="",E272=""),"MISSING",IF(OR(C272&lt;0,C272&gt;60,D272&lt;50,D272&gt;400,E272&lt;0,E272&gt;200),"REVIEW","OK"))</x:f>
        <x:v>OK</x:v>
      </x:c>
    </x:row>
    <x:row r="273">
      <x:c r="A273" s="31" t="n">
        <x:v>272</x:v>
      </x:c>
      <x:c r="B273" s="32" t="n">
        <x:v>46310.364699074074</x:v>
      </x:c>
      <x:c r="C273" s="33" t="n">
        <x:v>23.647</x:v>
      </x:c>
      <x:c r="D273" s="33" t="n">
        <x:v>212.04</x:v>
      </x:c>
      <x:c r="E273" s="33" t="n">
        <x:v>81.726</x:v>
      </x:c>
      <x:c r="F273" s="31" t="str"/>
      <x:c r="G273" s="31" t="str">
        <x:f>IF(C273="","NO DATA",IF(C273&gt;=30,"ALERT","NORMAL"))</x:f>
        <x:v>NORMAL</x:v>
      </x:c>
      <x:c r="H273" s="31" t="str">
        <x:f>IF(C273="","MISSING",IF(C273&gt;=30,"HIGH TEMP","OK"))</x:f>
        <x:v>OK</x:v>
      </x:c>
      <x:c r="I273" s="31" t="str">
        <x:f>IF(E273="","NO DATA",IF(E273&lt;20,"LOW FLOW","OK"))</x:f>
        <x:v>OK</x:v>
      </x:c>
      <x:c r="J273" s="31" t="str">
        <x:f>IF(OR(C273="",D273="",E273=""),"MISSING",IF(OR(C273&lt;0,C273&gt;60,D273&lt;50,D273&gt;400,E273&lt;0,E273&gt;200),"REVIEW","OK"))</x:f>
        <x:v>OK</x:v>
      </x:c>
    </x:row>
    <x:row r="274">
      <x:c r="A274" s="31" t="n">
        <x:v>273</x:v>
      </x:c>
      <x:c r="B274" s="32" t="n">
        <x:v>46310.36481481481</x:v>
      </x:c>
      <x:c r="C274" s="33" t="n">
        <x:v>23.548</x:v>
      </x:c>
      <x:c r="D274" s="33" t="n">
        <x:v>213.478</x:v>
      </x:c>
      <x:c r="E274" s="33" t="n">
        <x:v>82.242</x:v>
      </x:c>
      <x:c r="F274" s="31" t="str"/>
      <x:c r="G274" s="31" t="str">
        <x:f>IF(C274="","NO DATA",IF(C274&gt;=30,"ALERT","NORMAL"))</x:f>
        <x:v>NORMAL</x:v>
      </x:c>
      <x:c r="H274" s="31" t="str">
        <x:f>IF(C274="","MISSING",IF(C274&gt;=30,"HIGH TEMP","OK"))</x:f>
        <x:v>OK</x:v>
      </x:c>
      <x:c r="I274" s="31" t="str">
        <x:f>IF(E274="","NO DATA",IF(E274&lt;20,"LOW FLOW","OK"))</x:f>
        <x:v>OK</x:v>
      </x:c>
      <x:c r="J274" s="31" t="str">
        <x:f>IF(OR(C274="",D274="",E274=""),"MISSING",IF(OR(C274&lt;0,C274&gt;60,D274&lt;50,D274&gt;400,E274&lt;0,E274&gt;200),"REVIEW","OK"))</x:f>
        <x:v>OK</x:v>
      </x:c>
    </x:row>
    <x:row r="275">
      <x:c r="A275" s="31" t="n">
        <x:v>274</x:v>
      </x:c>
      <x:c r="B275" s="32" t="n">
        <x:v>46310.36493055556</x:v>
      </x:c>
      <x:c r="C275" s="33" t="n">
        <x:v>23.609</x:v>
      </x:c>
      <x:c r="D275" s="33" t="n">
        <x:v>211.959</x:v>
      </x:c>
      <x:c r="E275" s="33" t="n">
        <x:v>81.09</x:v>
      </x:c>
      <x:c r="F275" s="31" t="str"/>
      <x:c r="G275" s="31" t="str">
        <x:f>IF(C275="","NO DATA",IF(C275&gt;=30,"ALERT","NORMAL"))</x:f>
        <x:v>NORMAL</x:v>
      </x:c>
      <x:c r="H275" s="31" t="str">
        <x:f>IF(C275="","MISSING",IF(C275&gt;=30,"HIGH TEMP","OK"))</x:f>
        <x:v>OK</x:v>
      </x:c>
      <x:c r="I275" s="31" t="str">
        <x:f>IF(E275="","NO DATA",IF(E275&lt;20,"LOW FLOW","OK"))</x:f>
        <x:v>OK</x:v>
      </x:c>
      <x:c r="J275" s="31" t="str">
        <x:f>IF(OR(C275="",D275="",E275=""),"MISSING",IF(OR(C275&lt;0,C275&gt;60,D275&lt;50,D275&gt;400,E275&lt;0,E275&gt;200),"REVIEW","OK"))</x:f>
        <x:v>OK</x:v>
      </x:c>
    </x:row>
    <x:row r="276">
      <x:c r="A276" s="31" t="n">
        <x:v>275</x:v>
      </x:c>
      <x:c r="B276" s="32" t="n">
        <x:v>46310.3650462963</x:v>
      </x:c>
      <x:c r="C276" s="33" t="n">
        <x:v>23.566</x:v>
      </x:c>
      <x:c r="D276" s="33" t="n">
        <x:v>212.991</x:v>
      </x:c>
      <x:c r="E276" s="33" t="n">
        <x:v>82.559</x:v>
      </x:c>
      <x:c r="F276" s="31" t="str"/>
      <x:c r="G276" s="31" t="str">
        <x:f>IF(C276="","NO DATA",IF(C276&gt;=30,"ALERT","NORMAL"))</x:f>
        <x:v>NORMAL</x:v>
      </x:c>
      <x:c r="H276" s="31" t="str">
        <x:f>IF(C276="","MISSING",IF(C276&gt;=30,"HIGH TEMP","OK"))</x:f>
        <x:v>OK</x:v>
      </x:c>
      <x:c r="I276" s="31" t="str">
        <x:f>IF(E276="","NO DATA",IF(E276&lt;20,"LOW FLOW","OK"))</x:f>
        <x:v>OK</x:v>
      </x:c>
      <x:c r="J276" s="31" t="str">
        <x:f>IF(OR(C276="",D276="",E276=""),"MISSING",IF(OR(C276&lt;0,C276&gt;60,D276&lt;50,D276&gt;400,E276&lt;0,E276&gt;200),"REVIEW","OK"))</x:f>
        <x:v>OK</x:v>
      </x:c>
    </x:row>
    <x:row r="277">
      <x:c r="A277" s="31" t="n">
        <x:v>276</x:v>
      </x:c>
      <x:c r="B277" s="32" t="n">
        <x:v>46310.36516203704</x:v>
      </x:c>
      <x:c r="C277" s="33" t="n">
        <x:v>23.361</x:v>
      </x:c>
      <x:c r="D277" s="33" t="n">
        <x:v>210.809</x:v>
      </x:c>
      <x:c r="E277" s="33" t="n">
        <x:v>82.116</x:v>
      </x:c>
      <x:c r="F277" s="31" t="str"/>
      <x:c r="G277" s="31" t="str">
        <x:f>IF(C277="","NO DATA",IF(C277&gt;=30,"ALERT","NORMAL"))</x:f>
        <x:v>NORMAL</x:v>
      </x:c>
      <x:c r="H277" s="31" t="str">
        <x:f>IF(C277="","MISSING",IF(C277&gt;=30,"HIGH TEMP","OK"))</x:f>
        <x:v>OK</x:v>
      </x:c>
      <x:c r="I277" s="31" t="str">
        <x:f>IF(E277="","NO DATA",IF(E277&lt;20,"LOW FLOW","OK"))</x:f>
        <x:v>OK</x:v>
      </x:c>
      <x:c r="J277" s="31" t="str">
        <x:f>IF(OR(C277="",D277="",E277=""),"MISSING",IF(OR(C277&lt;0,C277&gt;60,D277&lt;50,D277&gt;400,E277&lt;0,E277&gt;200),"REVIEW","OK"))</x:f>
        <x:v>OK</x:v>
      </x:c>
    </x:row>
    <x:row r="278">
      <x:c r="A278" s="31" t="n">
        <x:v>277</x:v>
      </x:c>
      <x:c r="B278" s="32" t="n">
        <x:v>46310.365277777775</x:v>
      </x:c>
      <x:c r="C278" s="33" t="n">
        <x:v>23.627</x:v>
      </x:c>
      <x:c r="D278" s="33" t="n">
        <x:v>213.485</x:v>
      </x:c>
      <x:c r="E278" s="33" t="n">
        <x:v>82.529</x:v>
      </x:c>
      <x:c r="F278" s="31" t="str"/>
      <x:c r="G278" s="31" t="str">
        <x:f>IF(C278="","NO DATA",IF(C278&gt;=30,"ALERT","NORMAL"))</x:f>
        <x:v>NORMAL</x:v>
      </x:c>
      <x:c r="H278" s="31" t="str">
        <x:f>IF(C278="","MISSING",IF(C278&gt;=30,"HIGH TEMP","OK"))</x:f>
        <x:v>OK</x:v>
      </x:c>
      <x:c r="I278" s="31" t="str">
        <x:f>IF(E278="","NO DATA",IF(E278&lt;20,"LOW FLOW","OK"))</x:f>
        <x:v>OK</x:v>
      </x:c>
      <x:c r="J278" s="31" t="str">
        <x:f>IF(OR(C278="",D278="",E278=""),"MISSING",IF(OR(C278&lt;0,C278&gt;60,D278&lt;50,D278&gt;400,E278&lt;0,E278&gt;200),"REVIEW","OK"))</x:f>
        <x:v>OK</x:v>
      </x:c>
    </x:row>
    <x:row r="279">
      <x:c r="A279" s="31" t="n">
        <x:v>278</x:v>
      </x:c>
      <x:c r="B279" s="32" t="n">
        <x:v>46310.36539351852</x:v>
      </x:c>
      <x:c r="C279" s="33" t="n">
        <x:v>23.482</x:v>
      </x:c>
      <x:c r="D279" s="33" t="n">
        <x:v>210.675</x:v>
      </x:c>
      <x:c r="E279" s="33" t="n">
        <x:v>82.395</x:v>
      </x:c>
      <x:c r="F279" s="31" t="str"/>
      <x:c r="G279" s="31" t="str">
        <x:f>IF(C279="","NO DATA",IF(C279&gt;=30,"ALERT","NORMAL"))</x:f>
        <x:v>NORMAL</x:v>
      </x:c>
      <x:c r="H279" s="31" t="str">
        <x:f>IF(C279="","MISSING",IF(C279&gt;=30,"HIGH TEMP","OK"))</x:f>
        <x:v>OK</x:v>
      </x:c>
      <x:c r="I279" s="31" t="str">
        <x:f>IF(E279="","NO DATA",IF(E279&lt;20,"LOW FLOW","OK"))</x:f>
        <x:v>OK</x:v>
      </x:c>
      <x:c r="J279" s="31" t="str">
        <x:f>IF(OR(C279="",D279="",E279=""),"MISSING",IF(OR(C279&lt;0,C279&gt;60,D279&lt;50,D279&gt;400,E279&lt;0,E279&gt;200),"REVIEW","OK"))</x:f>
        <x:v>OK</x:v>
      </x:c>
    </x:row>
    <x:row r="280">
      <x:c r="A280" s="31" t="n">
        <x:v>279</x:v>
      </x:c>
      <x:c r="B280" s="32" t="n">
        <x:v>46310.36550925926</x:v>
      </x:c>
      <x:c r="C280" s="33" t="n">
        <x:v>23.616</x:v>
      </x:c>
      <x:c r="D280" s="33" t="n">
        <x:v>211.596</x:v>
      </x:c>
      <x:c r="E280" s="33" t="n">
        <x:v>82.675</x:v>
      </x:c>
      <x:c r="F280" s="31" t="str"/>
      <x:c r="G280" s="31" t="str">
        <x:f>IF(C280="","NO DATA",IF(C280&gt;=30,"ALERT","NORMAL"))</x:f>
        <x:v>NORMAL</x:v>
      </x:c>
      <x:c r="H280" s="31" t="str">
        <x:f>IF(C280="","MISSING",IF(C280&gt;=30,"HIGH TEMP","OK"))</x:f>
        <x:v>OK</x:v>
      </x:c>
      <x:c r="I280" s="31" t="str">
        <x:f>IF(E280="","NO DATA",IF(E280&lt;20,"LOW FLOW","OK"))</x:f>
        <x:v>OK</x:v>
      </x:c>
      <x:c r="J280" s="31" t="str">
        <x:f>IF(OR(C280="",D280="",E280=""),"MISSING",IF(OR(C280&lt;0,C280&gt;60,D280&lt;50,D280&gt;400,E280&lt;0,E280&gt;200),"REVIEW","OK"))</x:f>
        <x:v>OK</x:v>
      </x:c>
    </x:row>
    <x:row r="281">
      <x:c r="A281" s="31" t="n">
        <x:v>280</x:v>
      </x:c>
      <x:c r="B281" s="32" t="n">
        <x:v>46310.365625</x:v>
      </x:c>
      <x:c r="C281" s="33" t="n">
        <x:v>23.628</x:v>
      </x:c>
      <x:c r="D281" s="33" t="n">
        <x:v>210.286</x:v>
      </x:c>
      <x:c r="E281" s="33" t="n">
        <x:v>83.056</x:v>
      </x:c>
      <x:c r="F281" s="31" t="str"/>
      <x:c r="G281" s="31" t="str">
        <x:f>IF(C281="","NO DATA",IF(C281&gt;=30,"ALERT","NORMAL"))</x:f>
        <x:v>NORMAL</x:v>
      </x:c>
      <x:c r="H281" s="31" t="str">
        <x:f>IF(C281="","MISSING",IF(C281&gt;=30,"HIGH TEMP","OK"))</x:f>
        <x:v>OK</x:v>
      </x:c>
      <x:c r="I281" s="31" t="str">
        <x:f>IF(E281="","NO DATA",IF(E281&lt;20,"LOW FLOW","OK"))</x:f>
        <x:v>OK</x:v>
      </x:c>
      <x:c r="J281" s="31" t="str">
        <x:f>IF(OR(C281="",D281="",E281=""),"MISSING",IF(OR(C281&lt;0,C281&gt;60,D281&lt;50,D281&gt;400,E281&lt;0,E281&gt;200),"REVIEW","OK"))</x:f>
        <x:v>OK</x:v>
      </x:c>
    </x:row>
    <x:row r="282">
      <x:c r="A282" s="31" t="n">
        <x:v>281</x:v>
      </x:c>
      <x:c r="B282" s="32" t="n">
        <x:v>46310.36574074074</x:v>
      </x:c>
      <x:c r="C282" s="33" t="n">
        <x:v>23.448</x:v>
      </x:c>
      <x:c r="D282" s="33" t="n">
        <x:v>211.155</x:v>
      </x:c>
      <x:c r="E282" s="33" t="n">
        <x:v>81.63</x:v>
      </x:c>
      <x:c r="F282" s="31" t="str"/>
      <x:c r="G282" s="31" t="str">
        <x:f>IF(C282="","NO DATA",IF(C282&gt;=30,"ALERT","NORMAL"))</x:f>
        <x:v>NORMAL</x:v>
      </x:c>
      <x:c r="H282" s="31" t="str">
        <x:f>IF(C282="","MISSING",IF(C282&gt;=30,"HIGH TEMP","OK"))</x:f>
        <x:v>OK</x:v>
      </x:c>
      <x:c r="I282" s="31" t="str">
        <x:f>IF(E282="","NO DATA",IF(E282&lt;20,"LOW FLOW","OK"))</x:f>
        <x:v>OK</x:v>
      </x:c>
      <x:c r="J282" s="31" t="str">
        <x:f>IF(OR(C282="",D282="",E282=""),"MISSING",IF(OR(C282&lt;0,C282&gt;60,D282&lt;50,D282&gt;400,E282&lt;0,E282&gt;200),"REVIEW","OK"))</x:f>
        <x:v>OK</x:v>
      </x:c>
    </x:row>
    <x:row r="283">
      <x:c r="A283" s="31" t="n">
        <x:v>282</x:v>
      </x:c>
      <x:c r="B283" s="32" t="n">
        <x:v>46310.36585648148</x:v>
      </x:c>
      <x:c r="C283" s="33" t="n">
        <x:v>23.524</x:v>
      </x:c>
      <x:c r="D283" s="33" t="n">
        <x:v>211.608</x:v>
      </x:c>
      <x:c r="E283" s="33" t="n">
        <x:v>83.317</x:v>
      </x:c>
      <x:c r="F283" s="31" t="str"/>
      <x:c r="G283" s="31" t="str">
        <x:f>IF(C283="","NO DATA",IF(C283&gt;=30,"ALERT","NORMAL"))</x:f>
        <x:v>NORMAL</x:v>
      </x:c>
      <x:c r="H283" s="31" t="str">
        <x:f>IF(C283="","MISSING",IF(C283&gt;=30,"HIGH TEMP","OK"))</x:f>
        <x:v>OK</x:v>
      </x:c>
      <x:c r="I283" s="31" t="str">
        <x:f>IF(E283="","NO DATA",IF(E283&lt;20,"LOW FLOW","OK"))</x:f>
        <x:v>OK</x:v>
      </x:c>
      <x:c r="J283" s="31" t="str">
        <x:f>IF(OR(C283="",D283="",E283=""),"MISSING",IF(OR(C283&lt;0,C283&gt;60,D283&lt;50,D283&gt;400,E283&lt;0,E283&gt;200),"REVIEW","OK"))</x:f>
        <x:v>OK</x:v>
      </x:c>
    </x:row>
    <x:row r="284">
      <x:c r="A284" s="31" t="n">
        <x:v>283</x:v>
      </x:c>
      <x:c r="B284" s="32" t="n">
        <x:v>46310.36597222222</x:v>
      </x:c>
      <x:c r="C284" s="33" t="n">
        <x:v>23.421</x:v>
      </x:c>
      <x:c r="D284" s="33" t="n">
        <x:v>210.026</x:v>
      </x:c>
      <x:c r="E284" s="33" t="n">
        <x:v>83.637</x:v>
      </x:c>
      <x:c r="F284" s="31" t="str"/>
      <x:c r="G284" s="31" t="str">
        <x:f>IF(C284="","NO DATA",IF(C284&gt;=30,"ALERT","NORMAL"))</x:f>
        <x:v>NORMAL</x:v>
      </x:c>
      <x:c r="H284" s="31" t="str">
        <x:f>IF(C284="","MISSING",IF(C284&gt;=30,"HIGH TEMP","OK"))</x:f>
        <x:v>OK</x:v>
      </x:c>
      <x:c r="I284" s="31" t="str">
        <x:f>IF(E284="","NO DATA",IF(E284&lt;20,"LOW FLOW","OK"))</x:f>
        <x:v>OK</x:v>
      </x:c>
      <x:c r="J284" s="31" t="str">
        <x:f>IF(OR(C284="",D284="",E284=""),"MISSING",IF(OR(C284&lt;0,C284&gt;60,D284&lt;50,D284&gt;400,E284&lt;0,E284&gt;200),"REVIEW","OK"))</x:f>
        <x:v>OK</x:v>
      </x:c>
    </x:row>
    <x:row r="285">
      <x:c r="A285" s="31" t="n">
        <x:v>284</x:v>
      </x:c>
      <x:c r="B285" s="32" t="n">
        <x:v>46310.36608796296</x:v>
      </x:c>
      <x:c r="C285" s="33" t="n">
        <x:v>23.562</x:v>
      </x:c>
      <x:c r="D285" s="33" t="n">
        <x:v>210.388</x:v>
      </x:c>
      <x:c r="E285" s="33" t="n">
        <x:v>83.87</x:v>
      </x:c>
      <x:c r="F285" s="31" t="str"/>
      <x:c r="G285" s="31" t="str">
        <x:f>IF(C285="","NO DATA",IF(C285&gt;=30,"ALERT","NORMAL"))</x:f>
        <x:v>NORMAL</x:v>
      </x:c>
      <x:c r="H285" s="31" t="str">
        <x:f>IF(C285="","MISSING",IF(C285&gt;=30,"HIGH TEMP","OK"))</x:f>
        <x:v>OK</x:v>
      </x:c>
      <x:c r="I285" s="31" t="str">
        <x:f>IF(E285="","NO DATA",IF(E285&lt;20,"LOW FLOW","OK"))</x:f>
        <x:v>OK</x:v>
      </x:c>
      <x:c r="J285" s="31" t="str">
        <x:f>IF(OR(C285="",D285="",E285=""),"MISSING",IF(OR(C285&lt;0,C285&gt;60,D285&lt;50,D285&gt;400,E285&lt;0,E285&gt;200),"REVIEW","OK"))</x:f>
        <x:v>OK</x:v>
      </x:c>
    </x:row>
    <x:row r="286">
      <x:c r="A286" s="31" t="n">
        <x:v>285</x:v>
      </x:c>
      <x:c r="B286" s="32" t="n">
        <x:v>46310.36620370371</x:v>
      </x:c>
      <x:c r="C286" s="33" t="n">
        <x:v>23.426</x:v>
      </x:c>
      <x:c r="D286" s="33" t="n">
        <x:v>210.925</x:v>
      </x:c>
      <x:c r="E286" s="33" t="n">
        <x:v>82.418</x:v>
      </x:c>
      <x:c r="F286" s="31" t="str"/>
      <x:c r="G286" s="31" t="str">
        <x:f>IF(C286="","NO DATA",IF(C286&gt;=30,"ALERT","NORMAL"))</x:f>
        <x:v>NORMAL</x:v>
      </x:c>
      <x:c r="H286" s="31" t="str">
        <x:f>IF(C286="","MISSING",IF(C286&gt;=30,"HIGH TEMP","OK"))</x:f>
        <x:v>OK</x:v>
      </x:c>
      <x:c r="I286" s="31" t="str">
        <x:f>IF(E286="","NO DATA",IF(E286&lt;20,"LOW FLOW","OK"))</x:f>
        <x:v>OK</x:v>
      </x:c>
      <x:c r="J286" s="31" t="str">
        <x:f>IF(OR(C286="",D286="",E286=""),"MISSING",IF(OR(C286&lt;0,C286&gt;60,D286&lt;50,D286&gt;400,E286&lt;0,E286&gt;200),"REVIEW","OK"))</x:f>
        <x:v>OK</x:v>
      </x:c>
    </x:row>
    <x:row r="287">
      <x:c r="A287" s="31" t="n">
        <x:v>286</x:v>
      </x:c>
      <x:c r="B287" s="32" t="n">
        <x:v>46310.366319444445</x:v>
      </x:c>
      <x:c r="C287" s="33" t="n">
        <x:v>23.467</x:v>
      </x:c>
      <x:c r="D287" s="33" t="n">
        <x:v>209.445</x:v>
      </x:c>
      <x:c r="E287" s="33" t="n">
        <x:v>83.867</x:v>
      </x:c>
      <x:c r="F287" s="31" t="str"/>
      <x:c r="G287" s="31" t="str">
        <x:f>IF(C287="","NO DATA",IF(C287&gt;=30,"ALERT","NORMAL"))</x:f>
        <x:v>NORMAL</x:v>
      </x:c>
      <x:c r="H287" s="31" t="str">
        <x:f>IF(C287="","MISSING",IF(C287&gt;=30,"HIGH TEMP","OK"))</x:f>
        <x:v>OK</x:v>
      </x:c>
      <x:c r="I287" s="31" t="str">
        <x:f>IF(E287="","NO DATA",IF(E287&lt;20,"LOW FLOW","OK"))</x:f>
        <x:v>OK</x:v>
      </x:c>
      <x:c r="J287" s="31" t="str">
        <x:f>IF(OR(C287="",D287="",E287=""),"MISSING",IF(OR(C287&lt;0,C287&gt;60,D287&lt;50,D287&gt;400,E287&lt;0,E287&gt;200),"REVIEW","OK"))</x:f>
        <x:v>OK</x:v>
      </x:c>
    </x:row>
    <x:row r="288">
      <x:c r="A288" s="31" t="n">
        <x:v>287</x:v>
      </x:c>
      <x:c r="B288" s="32" t="n">
        <x:v>46310.366435185184</x:v>
      </x:c>
      <x:c r="C288" s="33" t="n">
        <x:v>23.669</x:v>
      </x:c>
      <x:c r="D288" s="33" t="n">
        <x:v>211.323</x:v>
      </x:c>
      <x:c r="E288" s="33" t="n">
        <x:v>82.44</x:v>
      </x:c>
      <x:c r="F288" s="31" t="str"/>
      <x:c r="G288" s="31" t="str">
        <x:f>IF(C288="","NO DATA",IF(C288&gt;=30,"ALERT","NORMAL"))</x:f>
        <x:v>NORMAL</x:v>
      </x:c>
      <x:c r="H288" s="31" t="str">
        <x:f>IF(C288="","MISSING",IF(C288&gt;=30,"HIGH TEMP","OK"))</x:f>
        <x:v>OK</x:v>
      </x:c>
      <x:c r="I288" s="31" t="str">
        <x:f>IF(E288="","NO DATA",IF(E288&lt;20,"LOW FLOW","OK"))</x:f>
        <x:v>OK</x:v>
      </x:c>
      <x:c r="J288" s="31" t="str">
        <x:f>IF(OR(C288="",D288="",E288=""),"MISSING",IF(OR(C288&lt;0,C288&gt;60,D288&lt;50,D288&gt;400,E288&lt;0,E288&gt;200),"REVIEW","OK"))</x:f>
        <x:v>OK</x:v>
      </x:c>
    </x:row>
    <x:row r="289">
      <x:c r="A289" s="31" t="n">
        <x:v>288</x:v>
      </x:c>
      <x:c r="B289" s="32" t="n">
        <x:v>46310.36655092592</x:v>
      </x:c>
      <x:c r="C289" s="33" t="n">
        <x:v>23.54</x:v>
      </x:c>
      <x:c r="D289" s="33" t="n">
        <x:v>210.2</x:v>
      </x:c>
      <x:c r="E289" s="33" t="n">
        <x:v>83.593</x:v>
      </x:c>
      <x:c r="F289" s="31" t="str"/>
      <x:c r="G289" s="31" t="str">
        <x:f>IF(C289="","NO DATA",IF(C289&gt;=30,"ALERT","NORMAL"))</x:f>
        <x:v>NORMAL</x:v>
      </x:c>
      <x:c r="H289" s="31" t="str">
        <x:f>IF(C289="","MISSING",IF(C289&gt;=30,"HIGH TEMP","OK"))</x:f>
        <x:v>OK</x:v>
      </x:c>
      <x:c r="I289" s="31" t="str">
        <x:f>IF(E289="","NO DATA",IF(E289&lt;20,"LOW FLOW","OK"))</x:f>
        <x:v>OK</x:v>
      </x:c>
      <x:c r="J289" s="31" t="str">
        <x:f>IF(OR(C289="",D289="",E289=""),"MISSING",IF(OR(C289&lt;0,C289&gt;60,D289&lt;50,D289&gt;400,E289&lt;0,E289&gt;200),"REVIEW","OK"))</x:f>
        <x:v>OK</x:v>
      </x:c>
    </x:row>
    <x:row r="290">
      <x:c r="A290" s="31" t="n">
        <x:v>289</x:v>
      </x:c>
      <x:c r="B290" s="32" t="n">
        <x:v>46310.36666666667</x:v>
      </x:c>
      <x:c r="C290" s="33" t="n">
        <x:v>23.609</x:v>
      </x:c>
      <x:c r="D290" s="33" t="n">
        <x:v>210.309</x:v>
      </x:c>
      <x:c r="E290" s="33" t="n">
        <x:v>82.903</x:v>
      </x:c>
      <x:c r="F290" s="31" t="str"/>
      <x:c r="G290" s="31" t="str">
        <x:f>IF(C290="","NO DATA",IF(C290&gt;=30,"ALERT","NORMAL"))</x:f>
        <x:v>NORMAL</x:v>
      </x:c>
      <x:c r="H290" s="31" t="str">
        <x:f>IF(C290="","MISSING",IF(C290&gt;=30,"HIGH TEMP","OK"))</x:f>
        <x:v>OK</x:v>
      </x:c>
      <x:c r="I290" s="31" t="str">
        <x:f>IF(E290="","NO DATA",IF(E290&lt;20,"LOW FLOW","OK"))</x:f>
        <x:v>OK</x:v>
      </x:c>
      <x:c r="J290" s="31" t="str">
        <x:f>IF(OR(C290="",D290="",E290=""),"MISSING",IF(OR(C290&lt;0,C290&gt;60,D290&lt;50,D290&gt;400,E290&lt;0,E290&gt;200),"REVIEW","OK"))</x:f>
        <x:v>OK</x:v>
      </x:c>
    </x:row>
    <x:row r="291">
      <x:c r="A291" s="31" t="n">
        <x:v>290</x:v>
      </x:c>
      <x:c r="B291" s="32" t="n">
        <x:v>46310.36678240741</x:v>
      </x:c>
      <x:c r="C291" s="33" t="n">
        <x:v>23.681</x:v>
      </x:c>
      <x:c r="D291" s="33" t="n">
        <x:v>209.506</x:v>
      </x:c>
      <x:c r="E291" s="33" t="n">
        <x:v>83.342</x:v>
      </x:c>
      <x:c r="F291" s="31" t="str"/>
      <x:c r="G291" s="31" t="str">
        <x:f>IF(C291="","NO DATA",IF(C291&gt;=30,"ALERT","NORMAL"))</x:f>
        <x:v>NORMAL</x:v>
      </x:c>
      <x:c r="H291" s="31" t="str">
        <x:f>IF(C291="","MISSING",IF(C291&gt;=30,"HIGH TEMP","OK"))</x:f>
        <x:v>OK</x:v>
      </x:c>
      <x:c r="I291" s="31" t="str">
        <x:f>IF(E291="","NO DATA",IF(E291&lt;20,"LOW FLOW","OK"))</x:f>
        <x:v>OK</x:v>
      </x:c>
      <x:c r="J291" s="31" t="str">
        <x:f>IF(OR(C291="",D291="",E291=""),"MISSING",IF(OR(C291&lt;0,C291&gt;60,D291&lt;50,D291&gt;400,E291&lt;0,E291&gt;200),"REVIEW","OK"))</x:f>
        <x:v>OK</x:v>
      </x:c>
    </x:row>
    <x:row r="292">
      <x:c r="A292" s="31" t="n">
        <x:v>291</x:v>
      </x:c>
      <x:c r="B292" s="32" t="n">
        <x:v>46310.366898148146</x:v>
      </x:c>
      <x:c r="C292" s="33" t="n">
        <x:v>23.584</x:v>
      </x:c>
      <x:c r="D292" s="33" t="n">
        <x:v>209.491</x:v>
      </x:c>
      <x:c r="E292" s="33" t="n">
        <x:v>83.905</x:v>
      </x:c>
      <x:c r="F292" s="31" t="str"/>
      <x:c r="G292" s="31" t="str">
        <x:f>IF(C292="","NO DATA",IF(C292&gt;=30,"ALERT","NORMAL"))</x:f>
        <x:v>NORMAL</x:v>
      </x:c>
      <x:c r="H292" s="31" t="str">
        <x:f>IF(C292="","MISSING",IF(C292&gt;=30,"HIGH TEMP","OK"))</x:f>
        <x:v>OK</x:v>
      </x:c>
      <x:c r="I292" s="31" t="str">
        <x:f>IF(E292="","NO DATA",IF(E292&lt;20,"LOW FLOW","OK"))</x:f>
        <x:v>OK</x:v>
      </x:c>
      <x:c r="J292" s="31" t="str">
        <x:f>IF(OR(C292="",D292="",E292=""),"MISSING",IF(OR(C292&lt;0,C292&gt;60,D292&lt;50,D292&gt;400,E292&lt;0,E292&gt;200),"REVIEW","OK"))</x:f>
        <x:v>OK</x:v>
      </x:c>
    </x:row>
    <x:row r="293">
      <x:c r="A293" s="31" t="n">
        <x:v>292</x:v>
      </x:c>
      <x:c r="B293" s="32" t="n">
        <x:v>46310.36701388889</x:v>
      </x:c>
      <x:c r="C293" s="33" t="n">
        <x:v>23.623</x:v>
      </x:c>
      <x:c r="D293" s="33" t="n">
        <x:v>211.629</x:v>
      </x:c>
      <x:c r="E293" s="33" t="n">
        <x:v>83.35</x:v>
      </x:c>
      <x:c r="F293" s="31" t="str"/>
      <x:c r="G293" s="31" t="str">
        <x:f>IF(C293="","NO DATA",IF(C293&gt;=30,"ALERT","NORMAL"))</x:f>
        <x:v>NORMAL</x:v>
      </x:c>
      <x:c r="H293" s="31" t="str">
        <x:f>IF(C293="","MISSING",IF(C293&gt;=30,"HIGH TEMP","OK"))</x:f>
        <x:v>OK</x:v>
      </x:c>
      <x:c r="I293" s="31" t="str">
        <x:f>IF(E293="","NO DATA",IF(E293&lt;20,"LOW FLOW","OK"))</x:f>
        <x:v>OK</x:v>
      </x:c>
      <x:c r="J293" s="31" t="str">
        <x:f>IF(OR(C293="",D293="",E293=""),"MISSING",IF(OR(C293&lt;0,C293&gt;60,D293&lt;50,D293&gt;400,E293&lt;0,E293&gt;200),"REVIEW","OK"))</x:f>
        <x:v>OK</x:v>
      </x:c>
    </x:row>
    <x:row r="294">
      <x:c r="A294" s="31" t="n">
        <x:v>293</x:v>
      </x:c>
      <x:c r="B294" s="32" t="n">
        <x:v>46310.36712962963</x:v>
      </x:c>
      <x:c r="C294" s="33" t="n">
        <x:v>23.756</x:v>
      </x:c>
      <x:c r="D294" s="33" t="n">
        <x:v>210.496</x:v>
      </x:c>
      <x:c r="E294" s="33" t="n">
        <x:v>83.406</x:v>
      </x:c>
      <x:c r="F294" s="31" t="str"/>
      <x:c r="G294" s="31" t="str">
        <x:f>IF(C294="","NO DATA",IF(C294&gt;=30,"ALERT","NORMAL"))</x:f>
        <x:v>NORMAL</x:v>
      </x:c>
      <x:c r="H294" s="31" t="str">
        <x:f>IF(C294="","MISSING",IF(C294&gt;=30,"HIGH TEMP","OK"))</x:f>
        <x:v>OK</x:v>
      </x:c>
      <x:c r="I294" s="31" t="str">
        <x:f>IF(E294="","NO DATA",IF(E294&lt;20,"LOW FLOW","OK"))</x:f>
        <x:v>OK</x:v>
      </x:c>
      <x:c r="J294" s="31" t="str">
        <x:f>IF(OR(C294="",D294="",E294=""),"MISSING",IF(OR(C294&lt;0,C294&gt;60,D294&lt;50,D294&gt;400,E294&lt;0,E294&gt;200),"REVIEW","OK"))</x:f>
        <x:v>OK</x:v>
      </x:c>
    </x:row>
    <x:row r="295">
      <x:c r="A295" s="31" t="n">
        <x:v>294</x:v>
      </x:c>
      <x:c r="B295" s="32" t="n">
        <x:v>46310.36724537037</x:v>
      </x:c>
      <x:c r="C295" s="33" t="n">
        <x:v>23.645</x:v>
      </x:c>
      <x:c r="D295" s="33" t="n">
        <x:v>210.45</x:v>
      </x:c>
      <x:c r="E295" s="33" t="n">
        <x:v>84.636</x:v>
      </x:c>
      <x:c r="F295" s="31" t="str"/>
      <x:c r="G295" s="31" t="str">
        <x:f>IF(C295="","NO DATA",IF(C295&gt;=30,"ALERT","NORMAL"))</x:f>
        <x:v>NORMAL</x:v>
      </x:c>
      <x:c r="H295" s="31" t="str">
        <x:f>IF(C295="","MISSING",IF(C295&gt;=30,"HIGH TEMP","OK"))</x:f>
        <x:v>OK</x:v>
      </x:c>
      <x:c r="I295" s="31" t="str">
        <x:f>IF(E295="","NO DATA",IF(E295&lt;20,"LOW FLOW","OK"))</x:f>
        <x:v>OK</x:v>
      </x:c>
      <x:c r="J295" s="31" t="str">
        <x:f>IF(OR(C295="",D295="",E295=""),"MISSING",IF(OR(C295&lt;0,C295&gt;60,D295&lt;50,D295&gt;400,E295&lt;0,E295&gt;200),"REVIEW","OK"))</x:f>
        <x:v>OK</x:v>
      </x:c>
    </x:row>
    <x:row r="296">
      <x:c r="A296" s="31" t="n">
        <x:v>295</x:v>
      </x:c>
      <x:c r="B296" s="32" t="n">
        <x:v>46310.36736111111</x:v>
      </x:c>
      <x:c r="C296" s="33" t="n">
        <x:v>23.504</x:v>
      </x:c>
      <x:c r="D296" s="33" t="n">
        <x:v>210.083</x:v>
      </x:c>
      <x:c r="E296" s="33" t="n">
        <x:v>84.138</x:v>
      </x:c>
      <x:c r="F296" s="31" t="str"/>
      <x:c r="G296" s="31" t="str">
        <x:f>IF(C296="","NO DATA",IF(C296&gt;=30,"ALERT","NORMAL"))</x:f>
        <x:v>NORMAL</x:v>
      </x:c>
      <x:c r="H296" s="31" t="str">
        <x:f>IF(C296="","MISSING",IF(C296&gt;=30,"HIGH TEMP","OK"))</x:f>
        <x:v>OK</x:v>
      </x:c>
      <x:c r="I296" s="31" t="str">
        <x:f>IF(E296="","NO DATA",IF(E296&lt;20,"LOW FLOW","OK"))</x:f>
        <x:v>OK</x:v>
      </x:c>
      <x:c r="J296" s="31" t="str">
        <x:f>IF(OR(C296="",D296="",E296=""),"MISSING",IF(OR(C296&lt;0,C296&gt;60,D296&lt;50,D296&gt;400,E296&lt;0,E296&gt;200),"REVIEW","OK"))</x:f>
        <x:v>OK</x:v>
      </x:c>
    </x:row>
    <x:row r="297">
      <x:c r="A297" s="31" t="n">
        <x:v>296</x:v>
      </x:c>
      <x:c r="B297" s="32" t="n">
        <x:v>46310.367476851854</x:v>
      </x:c>
      <x:c r="C297" s="33" t="n">
        <x:v>23.774</x:v>
      </x:c>
      <x:c r="D297" s="33" t="n">
        <x:v>208.994</x:v>
      </x:c>
      <x:c r="E297" s="33" t="n">
        <x:v>84.957</x:v>
      </x:c>
      <x:c r="F297" s="31" t="str"/>
      <x:c r="G297" s="31" t="str">
        <x:f>IF(C297="","NO DATA",IF(C297&gt;=30,"ALERT","NORMAL"))</x:f>
        <x:v>NORMAL</x:v>
      </x:c>
      <x:c r="H297" s="31" t="str">
        <x:f>IF(C297="","MISSING",IF(C297&gt;=30,"HIGH TEMP","OK"))</x:f>
        <x:v>OK</x:v>
      </x:c>
      <x:c r="I297" s="31" t="str">
        <x:f>IF(E297="","NO DATA",IF(E297&lt;20,"LOW FLOW","OK"))</x:f>
        <x:v>OK</x:v>
      </x:c>
      <x:c r="J297" s="31" t="str">
        <x:f>IF(OR(C297="",D297="",E297=""),"MISSING",IF(OR(C297&lt;0,C297&gt;60,D297&lt;50,D297&gt;400,E297&lt;0,E297&gt;200),"REVIEW","OK"))</x:f>
        <x:v>OK</x:v>
      </x:c>
    </x:row>
    <x:row r="298">
      <x:c r="A298" s="31" t="n">
        <x:v>297</x:v>
      </x:c>
      <x:c r="B298" s="32" t="n">
        <x:v>46310.36759259259</x:v>
      </x:c>
      <x:c r="C298" s="33" t="n">
        <x:v>23.7</x:v>
      </x:c>
      <x:c r="D298" s="33" t="n">
        <x:v>209.064</x:v>
      </x:c>
      <x:c r="E298" s="33" t="n">
        <x:v>84.656</x:v>
      </x:c>
      <x:c r="F298" s="31" t="str"/>
      <x:c r="G298" s="31" t="str">
        <x:f>IF(C298="","NO DATA",IF(C298&gt;=30,"ALERT","NORMAL"))</x:f>
        <x:v>NORMAL</x:v>
      </x:c>
      <x:c r="H298" s="31" t="str">
        <x:f>IF(C298="","MISSING",IF(C298&gt;=30,"HIGH TEMP","OK"))</x:f>
        <x:v>OK</x:v>
      </x:c>
      <x:c r="I298" s="31" t="str">
        <x:f>IF(E298="","NO DATA",IF(E298&lt;20,"LOW FLOW","OK"))</x:f>
        <x:v>OK</x:v>
      </x:c>
      <x:c r="J298" s="31" t="str">
        <x:f>IF(OR(C298="",D298="",E298=""),"MISSING",IF(OR(C298&lt;0,C298&gt;60,D298&lt;50,D298&gt;400,E298&lt;0,E298&gt;200),"REVIEW","OK"))</x:f>
        <x:v>OK</x:v>
      </x:c>
    </x:row>
    <x:row r="299">
      <x:c r="A299" s="31" t="n">
        <x:v>298</x:v>
      </x:c>
      <x:c r="B299" s="32" t="n">
        <x:v>46310.36770833333</x:v>
      </x:c>
      <x:c r="C299" s="33" t="n">
        <x:v>23.719</x:v>
      </x:c>
      <x:c r="D299" s="33" t="n">
        <x:v>209.912</x:v>
      </x:c>
      <x:c r="E299" s="33" t="n">
        <x:v>84.942</x:v>
      </x:c>
      <x:c r="F299" s="31" t="str"/>
      <x:c r="G299" s="31" t="str">
        <x:f>IF(C299="","NO DATA",IF(C299&gt;=30,"ALERT","NORMAL"))</x:f>
        <x:v>NORMAL</x:v>
      </x:c>
      <x:c r="H299" s="31" t="str">
        <x:f>IF(C299="","MISSING",IF(C299&gt;=30,"HIGH TEMP","OK"))</x:f>
        <x:v>OK</x:v>
      </x:c>
      <x:c r="I299" s="31" t="str">
        <x:f>IF(E299="","NO DATA",IF(E299&lt;20,"LOW FLOW","OK"))</x:f>
        <x:v>OK</x:v>
      </x:c>
      <x:c r="J299" s="31" t="str">
        <x:f>IF(OR(C299="",D299="",E299=""),"MISSING",IF(OR(C299&lt;0,C299&gt;60,D299&lt;50,D299&gt;400,E299&lt;0,E299&gt;200),"REVIEW","OK"))</x:f>
        <x:v>OK</x:v>
      </x:c>
    </x:row>
    <x:row r="300">
      <x:c r="A300" s="31" t="n">
        <x:v>299</x:v>
      </x:c>
      <x:c r="B300" s="32" t="n">
        <x:v>46310.36782407408</x:v>
      </x:c>
      <x:c r="C300" s="33" t="n">
        <x:v>23.747</x:v>
      </x:c>
      <x:c r="D300" s="33" t="n">
        <x:v>210.267</x:v>
      </x:c>
      <x:c r="E300" s="33" t="n">
        <x:v>84.798</x:v>
      </x:c>
      <x:c r="F300" s="31" t="str"/>
      <x:c r="G300" s="31" t="str">
        <x:f>IF(C300="","NO DATA",IF(C300&gt;=30,"ALERT","NORMAL"))</x:f>
        <x:v>NORMAL</x:v>
      </x:c>
      <x:c r="H300" s="31" t="str">
        <x:f>IF(C300="","MISSING",IF(C300&gt;=30,"HIGH TEMP","OK"))</x:f>
        <x:v>OK</x:v>
      </x:c>
      <x:c r="I300" s="31" t="str">
        <x:f>IF(E300="","NO DATA",IF(E300&lt;20,"LOW FLOW","OK"))</x:f>
        <x:v>OK</x:v>
      </x:c>
      <x:c r="J300" s="31" t="str">
        <x:f>IF(OR(C300="",D300="",E300=""),"MISSING",IF(OR(C300&lt;0,C300&gt;60,D300&lt;50,D300&gt;400,E300&lt;0,E300&gt;200),"REVIEW","OK"))</x:f>
        <x:v>OK</x:v>
      </x:c>
    </x:row>
    <x:row r="301">
      <x:c r="A301" s="31" t="n">
        <x:v>300</x:v>
      </x:c>
      <x:c r="B301" s="32" t="n">
        <x:v>46310.367939814816</x:v>
      </x:c>
      <x:c r="C301" s="33" t="n">
        <x:v>23.836</x:v>
      </x:c>
      <x:c r="D301" s="33" t="n">
        <x:v>209.565</x:v>
      </x:c>
      <x:c r="E301" s="33" t="n">
        <x:v>84.105</x:v>
      </x:c>
      <x:c r="F301" s="31" t="str"/>
      <x:c r="G301" s="31" t="str">
        <x:f>IF(C301="","NO DATA",IF(C301&gt;=30,"ALERT","NORMAL"))</x:f>
        <x:v>NORMAL</x:v>
      </x:c>
      <x:c r="H301" s="31" t="str">
        <x:f>IF(C301="","MISSING",IF(C301&gt;=30,"HIGH TEMP","OK"))</x:f>
        <x:v>OK</x:v>
      </x:c>
      <x:c r="I301" s="31" t="str">
        <x:f>IF(E301="","NO DATA",IF(E301&lt;20,"LOW FLOW","OK"))</x:f>
        <x:v>OK</x:v>
      </x:c>
      <x:c r="J301" s="31" t="str">
        <x:f>IF(OR(C301="",D301="",E301=""),"MISSING",IF(OR(C301&lt;0,C301&gt;60,D301&lt;50,D301&gt;400,E301&lt;0,E301&gt;200),"REVIEW","OK"))</x:f>
        <x:v>OK</x:v>
      </x:c>
    </x:row>
    <x:row r="302">
      <x:c r="A302" s="31" t="n">
        <x:v>301</x:v>
      </x:c>
      <x:c r="B302" s="32" t="n">
        <x:v>46310.368055555555</x:v>
      </x:c>
      <x:c r="C302" s="33" t="n">
        <x:v>23.714</x:v>
      </x:c>
      <x:c r="D302" s="33" t="n">
        <x:v>209.239</x:v>
      </x:c>
      <x:c r="E302" s="33"/>
      <x:c r="F302" s="31" t="str">
        <x:v>Flow reading missing</x:v>
      </x:c>
      <x:c r="G302" s="31" t="str">
        <x:f>IF(C302="","NO DATA",IF(C302&gt;=30,"ALERT","NORMAL"))</x:f>
        <x:v>NORMAL</x:v>
      </x:c>
      <x:c r="H302" s="31" t="str">
        <x:f>IF(C302="","MISSING",IF(C302&gt;=30,"HIGH TEMP","OK"))</x:f>
        <x:v>OK</x:v>
      </x:c>
      <x:c r="I302" s="31" t="str">
        <x:f>IF(E302="","NO DATA",IF(E302&lt;20,"LOW FLOW","OK"))</x:f>
        <x:v>NO DATA</x:v>
      </x:c>
      <x:c r="J302" s="31" t="str">
        <x:f>IF(OR(C302="",D302="",E302=""),"MISSING",IF(OR(C302&lt;0,C302&gt;60,D302&lt;50,D302&gt;400,E302&lt;0,E302&gt;200),"REVIEW","OK"))</x:f>
        <x:v>MISSING</x:v>
      </x:c>
    </x:row>
    <x:row r="303">
      <x:c r="A303" s="31" t="n">
        <x:v>302</x:v>
      </x:c>
      <x:c r="B303" s="32" t="n">
        <x:v>46310.36817129629</x:v>
      </x:c>
      <x:c r="C303" s="33" t="n">
        <x:v>23.626</x:v>
      </x:c>
      <x:c r="D303" s="33" t="n">
        <x:v>208.261</x:v>
      </x:c>
      <x:c r="E303" s="33"/>
      <x:c r="F303" s="31" t="str">
        <x:v>Flow reading missing</x:v>
      </x:c>
      <x:c r="G303" s="31" t="str">
        <x:f>IF(C303="","NO DATA",IF(C303&gt;=30,"ALERT","NORMAL"))</x:f>
        <x:v>NORMAL</x:v>
      </x:c>
      <x:c r="H303" s="31" t="str">
        <x:f>IF(C303="","MISSING",IF(C303&gt;=30,"HIGH TEMP","OK"))</x:f>
        <x:v>OK</x:v>
      </x:c>
      <x:c r="I303" s="31" t="str">
        <x:f>IF(E303="","NO DATA",IF(E303&lt;20,"LOW FLOW","OK"))</x:f>
        <x:v>NO DATA</x:v>
      </x:c>
      <x:c r="J303" s="31" t="str">
        <x:f>IF(OR(C303="",D303="",E303=""),"MISSING",IF(OR(C303&lt;0,C303&gt;60,D303&lt;50,D303&gt;400,E303&lt;0,E303&gt;200),"REVIEW","OK"))</x:f>
        <x:v>MISSING</x:v>
      </x:c>
    </x:row>
    <x:row r="304">
      <x:c r="A304" s="31" t="n">
        <x:v>303</x:v>
      </x:c>
      <x:c r="B304" s="32" t="n">
        <x:v>46310.36828703704</x:v>
      </x:c>
      <x:c r="C304" s="33" t="n">
        <x:v>23.669</x:v>
      </x:c>
      <x:c r="D304" s="33" t="n">
        <x:v>207.649</x:v>
      </x:c>
      <x:c r="E304" s="33"/>
      <x:c r="F304" s="31" t="str">
        <x:v>Flow reading missing</x:v>
      </x:c>
      <x:c r="G304" s="31" t="str">
        <x:f>IF(C304="","NO DATA",IF(C304&gt;=30,"ALERT","NORMAL"))</x:f>
        <x:v>NORMAL</x:v>
      </x:c>
      <x:c r="H304" s="31" t="str">
        <x:f>IF(C304="","MISSING",IF(C304&gt;=30,"HIGH TEMP","OK"))</x:f>
        <x:v>OK</x:v>
      </x:c>
      <x:c r="I304" s="31" t="str">
        <x:f>IF(E304="","NO DATA",IF(E304&lt;20,"LOW FLOW","OK"))</x:f>
        <x:v>NO DATA</x:v>
      </x:c>
      <x:c r="J304" s="31" t="str">
        <x:f>IF(OR(C304="",D304="",E304=""),"MISSING",IF(OR(C304&lt;0,C304&gt;60,D304&lt;50,D304&gt;400,E304&lt;0,E304&gt;200),"REVIEW","OK"))</x:f>
        <x:v>MISSING</x:v>
      </x:c>
    </x:row>
    <x:row r="305">
      <x:c r="A305" s="31" t="n">
        <x:v>304</x:v>
      </x:c>
      <x:c r="B305" s="32" t="n">
        <x:v>46310.36840277778</x:v>
      </x:c>
      <x:c r="C305" s="33" t="n">
        <x:v>23.926</x:v>
      </x:c>
      <x:c r="D305" s="33" t="n">
        <x:v>208.723</x:v>
      </x:c>
      <x:c r="E305" s="33"/>
      <x:c r="F305" s="31" t="str">
        <x:v>Flow reading missing</x:v>
      </x:c>
      <x:c r="G305" s="31" t="str">
        <x:f>IF(C305="","NO DATA",IF(C305&gt;=30,"ALERT","NORMAL"))</x:f>
        <x:v>NORMAL</x:v>
      </x:c>
      <x:c r="H305" s="31" t="str">
        <x:f>IF(C305="","MISSING",IF(C305&gt;=30,"HIGH TEMP","OK"))</x:f>
        <x:v>OK</x:v>
      </x:c>
      <x:c r="I305" s="31" t="str">
        <x:f>IF(E305="","NO DATA",IF(E305&lt;20,"LOW FLOW","OK"))</x:f>
        <x:v>NO DATA</x:v>
      </x:c>
      <x:c r="J305" s="31" t="str">
        <x:f>IF(OR(C305="",D305="",E305=""),"MISSING",IF(OR(C305&lt;0,C305&gt;60,D305&lt;50,D305&gt;400,E305&lt;0,E305&gt;200),"REVIEW","OK"))</x:f>
        <x:v>MISSING</x:v>
      </x:c>
    </x:row>
    <x:row r="306">
      <x:c r="A306" s="31" t="n">
        <x:v>305</x:v>
      </x:c>
      <x:c r="B306" s="32" t="n">
        <x:v>46310.36851851852</x:v>
      </x:c>
      <x:c r="C306" s="33" t="n">
        <x:v>23.902</x:v>
      </x:c>
      <x:c r="D306" s="33" t="n">
        <x:v>207.781</x:v>
      </x:c>
      <x:c r="E306" s="33"/>
      <x:c r="F306" s="31" t="str">
        <x:v>Flow reading missing</x:v>
      </x:c>
      <x:c r="G306" s="31" t="str">
        <x:f>IF(C306="","NO DATA",IF(C306&gt;=30,"ALERT","NORMAL"))</x:f>
        <x:v>NORMAL</x:v>
      </x:c>
      <x:c r="H306" s="31" t="str">
        <x:f>IF(C306="","MISSING",IF(C306&gt;=30,"HIGH TEMP","OK"))</x:f>
        <x:v>OK</x:v>
      </x:c>
      <x:c r="I306" s="31" t="str">
        <x:f>IF(E306="","NO DATA",IF(E306&lt;20,"LOW FLOW","OK"))</x:f>
        <x:v>NO DATA</x:v>
      </x:c>
      <x:c r="J306" s="31" t="str">
        <x:f>IF(OR(C306="",D306="",E306=""),"MISSING",IF(OR(C306&lt;0,C306&gt;60,D306&lt;50,D306&gt;400,E306&lt;0,E306&gt;200),"REVIEW","OK"))</x:f>
        <x:v>MISSING</x:v>
      </x:c>
    </x:row>
    <x:row r="307">
      <x:c r="A307" s="31" t="n">
        <x:v>306</x:v>
      </x:c>
      <x:c r="B307" s="32" t="n">
        <x:v>46310.36863425926</x:v>
      </x:c>
      <x:c r="C307" s="33" t="n">
        <x:v>23.815</x:v>
      </x:c>
      <x:c r="D307" s="33" t="n">
        <x:v>209.311</x:v>
      </x:c>
      <x:c r="E307" s="33"/>
      <x:c r="F307" s="31" t="str">
        <x:v>Flow reading missing</x:v>
      </x:c>
      <x:c r="G307" s="31" t="str">
        <x:f>IF(C307="","NO DATA",IF(C307&gt;=30,"ALERT","NORMAL"))</x:f>
        <x:v>NORMAL</x:v>
      </x:c>
      <x:c r="H307" s="31" t="str">
        <x:f>IF(C307="","MISSING",IF(C307&gt;=30,"HIGH TEMP","OK"))</x:f>
        <x:v>OK</x:v>
      </x:c>
      <x:c r="I307" s="31" t="str">
        <x:f>IF(E307="","NO DATA",IF(E307&lt;20,"LOW FLOW","OK"))</x:f>
        <x:v>NO DATA</x:v>
      </x:c>
      <x:c r="J307" s="31" t="str">
        <x:f>IF(OR(C307="",D307="",E307=""),"MISSING",IF(OR(C307&lt;0,C307&gt;60,D307&lt;50,D307&gt;400,E307&lt;0,E307&gt;200),"REVIEW","OK"))</x:f>
        <x:v>MISSING</x:v>
      </x:c>
    </x:row>
    <x:row r="308">
      <x:c r="A308" s="31" t="n">
        <x:v>307</x:v>
      </x:c>
      <x:c r="B308" s="32" t="n">
        <x:v>46310.36875</x:v>
      </x:c>
      <x:c r="C308" s="33" t="n">
        <x:v>23.791</x:v>
      </x:c>
      <x:c r="D308" s="33" t="n">
        <x:v>207.119</x:v>
      </x:c>
      <x:c r="E308" s="33"/>
      <x:c r="F308" s="31" t="str">
        <x:v>Flow reading missing</x:v>
      </x:c>
      <x:c r="G308" s="31" t="str">
        <x:f>IF(C308="","NO DATA",IF(C308&gt;=30,"ALERT","NORMAL"))</x:f>
        <x:v>NORMAL</x:v>
      </x:c>
      <x:c r="H308" s="31" t="str">
        <x:f>IF(C308="","MISSING",IF(C308&gt;=30,"HIGH TEMP","OK"))</x:f>
        <x:v>OK</x:v>
      </x:c>
      <x:c r="I308" s="31" t="str">
        <x:f>IF(E308="","NO DATA",IF(E308&lt;20,"LOW FLOW","OK"))</x:f>
        <x:v>NO DATA</x:v>
      </x:c>
      <x:c r="J308" s="31" t="str">
        <x:f>IF(OR(C308="",D308="",E308=""),"MISSING",IF(OR(C308&lt;0,C308&gt;60,D308&lt;50,D308&gt;400,E308&lt;0,E308&gt;200),"REVIEW","OK"))</x:f>
        <x:v>MISSING</x:v>
      </x:c>
    </x:row>
    <x:row r="309">
      <x:c r="A309" s="31" t="n">
        <x:v>308</x:v>
      </x:c>
      <x:c r="B309" s="32" t="n">
        <x:v>46310.36886574074</x:v>
      </x:c>
      <x:c r="C309" s="33" t="n">
        <x:v>23.751</x:v>
      </x:c>
      <x:c r="D309" s="33" t="n">
        <x:v>209.558</x:v>
      </x:c>
      <x:c r="E309" s="33" t="n">
        <x:v>85.814</x:v>
      </x:c>
      <x:c r="F309" s="31" t="str"/>
      <x:c r="G309" s="31" t="str">
        <x:f>IF(C309="","NO DATA",IF(C309&gt;=30,"ALERT","NORMAL"))</x:f>
        <x:v>NORMAL</x:v>
      </x:c>
      <x:c r="H309" s="31" t="str">
        <x:f>IF(C309="","MISSING",IF(C309&gt;=30,"HIGH TEMP","OK"))</x:f>
        <x:v>OK</x:v>
      </x:c>
      <x:c r="I309" s="31" t="str">
        <x:f>IF(E309="","NO DATA",IF(E309&lt;20,"LOW FLOW","OK"))</x:f>
        <x:v>OK</x:v>
      </x:c>
      <x:c r="J309" s="31" t="str">
        <x:f>IF(OR(C309="",D309="",E309=""),"MISSING",IF(OR(C309&lt;0,C309&gt;60,D309&lt;50,D309&gt;400,E309&lt;0,E309&gt;200),"REVIEW","OK"))</x:f>
        <x:v>OK</x:v>
      </x:c>
    </x:row>
    <x:row r="310">
      <x:c r="A310" s="31" t="n">
        <x:v>309</x:v>
      </x:c>
      <x:c r="B310" s="32" t="n">
        <x:v>46310.36898148148</x:v>
      </x:c>
      <x:c r="C310" s="33" t="n">
        <x:v>23.945</x:v>
      </x:c>
      <x:c r="D310" s="33" t="n">
        <x:v>209.485</x:v>
      </x:c>
      <x:c r="E310" s="33" t="n">
        <x:v>86.093</x:v>
      </x:c>
      <x:c r="F310" s="31" t="str"/>
      <x:c r="G310" s="31" t="str">
        <x:f>IF(C310="","NO DATA",IF(C310&gt;=30,"ALERT","NORMAL"))</x:f>
        <x:v>NORMAL</x:v>
      </x:c>
      <x:c r="H310" s="31" t="str">
        <x:f>IF(C310="","MISSING",IF(C310&gt;=30,"HIGH TEMP","OK"))</x:f>
        <x:v>OK</x:v>
      </x:c>
      <x:c r="I310" s="31" t="str">
        <x:f>IF(E310="","NO DATA",IF(E310&lt;20,"LOW FLOW","OK"))</x:f>
        <x:v>OK</x:v>
      </x:c>
      <x:c r="J310" s="31" t="str">
        <x:f>IF(OR(C310="",D310="",E310=""),"MISSING",IF(OR(C310&lt;0,C310&gt;60,D310&lt;50,D310&gt;400,E310&lt;0,E310&gt;200),"REVIEW","OK"))</x:f>
        <x:v>OK</x:v>
      </x:c>
    </x:row>
    <x:row r="311">
      <x:c r="A311" s="31" t="n">
        <x:v>310</x:v>
      </x:c>
      <x:c r="B311" s="32" t="n">
        <x:v>46310.369097222225</x:v>
      </x:c>
      <x:c r="C311" s="33" t="n">
        <x:v>23.989</x:v>
      </x:c>
      <x:c r="D311" s="33" t="n">
        <x:v>207.531</x:v>
      </x:c>
      <x:c r="E311" s="33" t="n">
        <x:v>85.685</x:v>
      </x:c>
      <x:c r="F311" s="31" t="str"/>
      <x:c r="G311" s="31" t="str">
        <x:f>IF(C311="","NO DATA",IF(C311&gt;=30,"ALERT","NORMAL"))</x:f>
        <x:v>NORMAL</x:v>
      </x:c>
      <x:c r="H311" s="31" t="str">
        <x:f>IF(C311="","MISSING",IF(C311&gt;=30,"HIGH TEMP","OK"))</x:f>
        <x:v>OK</x:v>
      </x:c>
      <x:c r="I311" s="31" t="str">
        <x:f>IF(E311="","NO DATA",IF(E311&lt;20,"LOW FLOW","OK"))</x:f>
        <x:v>OK</x:v>
      </x:c>
      <x:c r="J311" s="31" t="str">
        <x:f>IF(OR(C311="",D311="",E311=""),"MISSING",IF(OR(C311&lt;0,C311&gt;60,D311&lt;50,D311&gt;400,E311&lt;0,E311&gt;200),"REVIEW","OK"))</x:f>
        <x:v>OK</x:v>
      </x:c>
    </x:row>
    <x:row r="312">
      <x:c r="A312" s="31" t="n">
        <x:v>311</x:v>
      </x:c>
      <x:c r="B312" s="32" t="n">
        <x:v>46310.36921296296</x:v>
      </x:c>
      <x:c r="C312" s="33" t="n">
        <x:v>23.771</x:v>
      </x:c>
      <x:c r="D312" s="33" t="n">
        <x:v>207.934</x:v>
      </x:c>
      <x:c r="E312" s="33" t="n">
        <x:v>84.888</x:v>
      </x:c>
      <x:c r="F312" s="31" t="str"/>
      <x:c r="G312" s="31" t="str">
        <x:f>IF(C312="","NO DATA",IF(C312&gt;=30,"ALERT","NORMAL"))</x:f>
        <x:v>NORMAL</x:v>
      </x:c>
      <x:c r="H312" s="31" t="str">
        <x:f>IF(C312="","MISSING",IF(C312&gt;=30,"HIGH TEMP","OK"))</x:f>
        <x:v>OK</x:v>
      </x:c>
      <x:c r="I312" s="31" t="str">
        <x:f>IF(E312="","NO DATA",IF(E312&lt;20,"LOW FLOW","OK"))</x:f>
        <x:v>OK</x:v>
      </x:c>
      <x:c r="J312" s="31" t="str">
        <x:f>IF(OR(C312="",D312="",E312=""),"MISSING",IF(OR(C312&lt;0,C312&gt;60,D312&lt;50,D312&gt;400,E312&lt;0,E312&gt;200),"REVIEW","OK"))</x:f>
        <x:v>OK</x:v>
      </x:c>
    </x:row>
    <x:row r="313">
      <x:c r="A313" s="31" t="n">
        <x:v>312</x:v>
      </x:c>
      <x:c r="B313" s="32" t="n">
        <x:v>46310.3693287037</x:v>
      </x:c>
      <x:c r="C313" s="33" t="n">
        <x:v>23.989</x:v>
      </x:c>
      <x:c r="D313" s="33" t="n">
        <x:v>208.234</x:v>
      </x:c>
      <x:c r="E313" s="33" t="n">
        <x:v>85.203</x:v>
      </x:c>
      <x:c r="F313" s="31" t="str"/>
      <x:c r="G313" s="31" t="str">
        <x:f>IF(C313="","NO DATA",IF(C313&gt;=30,"ALERT","NORMAL"))</x:f>
        <x:v>NORMAL</x:v>
      </x:c>
      <x:c r="H313" s="31" t="str">
        <x:f>IF(C313="","MISSING",IF(C313&gt;=30,"HIGH TEMP","OK"))</x:f>
        <x:v>OK</x:v>
      </x:c>
      <x:c r="I313" s="31" t="str">
        <x:f>IF(E313="","NO DATA",IF(E313&lt;20,"LOW FLOW","OK"))</x:f>
        <x:v>OK</x:v>
      </x:c>
      <x:c r="J313" s="31" t="str">
        <x:f>IF(OR(C313="",D313="",E313=""),"MISSING",IF(OR(C313&lt;0,C313&gt;60,D313&lt;50,D313&gt;400,E313&lt;0,E313&gt;200),"REVIEW","OK"))</x:f>
        <x:v>OK</x:v>
      </x:c>
    </x:row>
    <x:row r="314">
      <x:c r="A314" s="31" t="n">
        <x:v>313</x:v>
      </x:c>
      <x:c r="B314" s="32" t="n">
        <x:v>46310.36944444444</x:v>
      </x:c>
      <x:c r="C314" s="33" t="n">
        <x:v>24.054</x:v>
      </x:c>
      <x:c r="D314" s="33" t="n">
        <x:v>208.933</x:v>
      </x:c>
      <x:c r="E314" s="33" t="n">
        <x:v>84.057</x:v>
      </x:c>
      <x:c r="F314" s="31" t="str"/>
      <x:c r="G314" s="31" t="str">
        <x:f>IF(C314="","NO DATA",IF(C314&gt;=30,"ALERT","NORMAL"))</x:f>
        <x:v>NORMAL</x:v>
      </x:c>
      <x:c r="H314" s="31" t="str">
        <x:f>IF(C314="","MISSING",IF(C314&gt;=30,"HIGH TEMP","OK"))</x:f>
        <x:v>OK</x:v>
      </x:c>
      <x:c r="I314" s="31" t="str">
        <x:f>IF(E314="","NO DATA",IF(E314&lt;20,"LOW FLOW","OK"))</x:f>
        <x:v>OK</x:v>
      </x:c>
      <x:c r="J314" s="31" t="str">
        <x:f>IF(OR(C314="",D314="",E314=""),"MISSING",IF(OR(C314&lt;0,C314&gt;60,D314&lt;50,D314&gt;400,E314&lt;0,E314&gt;200),"REVIEW","OK"))</x:f>
        <x:v>OK</x:v>
      </x:c>
    </x:row>
    <x:row r="315">
      <x:c r="A315" s="31" t="n">
        <x:v>314</x:v>
      </x:c>
      <x:c r="B315" s="32" t="n">
        <x:v>46310.36956018519</x:v>
      </x:c>
      <x:c r="C315" s="33" t="n">
        <x:v>23.897</x:v>
      </x:c>
      <x:c r="D315" s="33" t="n">
        <x:v>206.085</x:v>
      </x:c>
      <x:c r="E315" s="33" t="n">
        <x:v>85.91</x:v>
      </x:c>
      <x:c r="F315" s="31" t="str"/>
      <x:c r="G315" s="31" t="str">
        <x:f>IF(C315="","NO DATA",IF(C315&gt;=30,"ALERT","NORMAL"))</x:f>
        <x:v>NORMAL</x:v>
      </x:c>
      <x:c r="H315" s="31" t="str">
        <x:f>IF(C315="","MISSING",IF(C315&gt;=30,"HIGH TEMP","OK"))</x:f>
        <x:v>OK</x:v>
      </x:c>
      <x:c r="I315" s="31" t="str">
        <x:f>IF(E315="","NO DATA",IF(E315&lt;20,"LOW FLOW","OK"))</x:f>
        <x:v>OK</x:v>
      </x:c>
      <x:c r="J315" s="31" t="str">
        <x:f>IF(OR(C315="",D315="",E315=""),"MISSING",IF(OR(C315&lt;0,C315&gt;60,D315&lt;50,D315&gt;400,E315&lt;0,E315&gt;200),"REVIEW","OK"))</x:f>
        <x:v>OK</x:v>
      </x:c>
    </x:row>
    <x:row r="316">
      <x:c r="A316" s="31" t="n">
        <x:v>315</x:v>
      </x:c>
      <x:c r="B316" s="32" t="n">
        <x:v>46310.369675925926</x:v>
      </x:c>
      <x:c r="C316" s="33" t="n">
        <x:v>24.015</x:v>
      </x:c>
      <x:c r="D316" s="33" t="n">
        <x:v>208.656</x:v>
      </x:c>
      <x:c r="E316" s="33" t="n">
        <x:v>84.304</x:v>
      </x:c>
      <x:c r="F316" s="31" t="str"/>
      <x:c r="G316" s="31" t="str">
        <x:f>IF(C316="","NO DATA",IF(C316&gt;=30,"ALERT","NORMAL"))</x:f>
        <x:v>NORMAL</x:v>
      </x:c>
      <x:c r="H316" s="31" t="str">
        <x:f>IF(C316="","MISSING",IF(C316&gt;=30,"HIGH TEMP","OK"))</x:f>
        <x:v>OK</x:v>
      </x:c>
      <x:c r="I316" s="31" t="str">
        <x:f>IF(E316="","NO DATA",IF(E316&lt;20,"LOW FLOW","OK"))</x:f>
        <x:v>OK</x:v>
      </x:c>
      <x:c r="J316" s="31" t="str">
        <x:f>IF(OR(C316="",D316="",E316=""),"MISSING",IF(OR(C316&lt;0,C316&gt;60,D316&lt;50,D316&gt;400,E316&lt;0,E316&gt;200),"REVIEW","OK"))</x:f>
        <x:v>OK</x:v>
      </x:c>
    </x:row>
    <x:row r="317">
      <x:c r="A317" s="31" t="n">
        <x:v>316</x:v>
      </x:c>
      <x:c r="B317" s="32" t="n">
        <x:v>46310.369791666664</x:v>
      </x:c>
      <x:c r="C317" s="33" t="n">
        <x:v>23.886</x:v>
      </x:c>
      <x:c r="D317" s="33" t="n">
        <x:v>208.285</x:v>
      </x:c>
      <x:c r="E317" s="33" t="n">
        <x:v>85.934</x:v>
      </x:c>
      <x:c r="F317" s="31" t="str"/>
      <x:c r="G317" s="31" t="str">
        <x:f>IF(C317="","NO DATA",IF(C317&gt;=30,"ALERT","NORMAL"))</x:f>
        <x:v>NORMAL</x:v>
      </x:c>
      <x:c r="H317" s="31" t="str">
        <x:f>IF(C317="","MISSING",IF(C317&gt;=30,"HIGH TEMP","OK"))</x:f>
        <x:v>OK</x:v>
      </x:c>
      <x:c r="I317" s="31" t="str">
        <x:f>IF(E317="","NO DATA",IF(E317&lt;20,"LOW FLOW","OK"))</x:f>
        <x:v>OK</x:v>
      </x:c>
      <x:c r="J317" s="31" t="str">
        <x:f>IF(OR(C317="",D317="",E317=""),"MISSING",IF(OR(C317&lt;0,C317&gt;60,D317&lt;50,D317&gt;400,E317&lt;0,E317&gt;200),"REVIEW","OK"))</x:f>
        <x:v>OK</x:v>
      </x:c>
    </x:row>
    <x:row r="318">
      <x:c r="A318" s="31" t="n">
        <x:v>317</x:v>
      </x:c>
      <x:c r="B318" s="32" t="n">
        <x:v>46310.36990740741</x:v>
      </x:c>
      <x:c r="C318" s="33" t="n">
        <x:v>23.977</x:v>
      </x:c>
      <x:c r="D318" s="33" t="n">
        <x:v>206.944</x:v>
      </x:c>
      <x:c r="E318" s="33" t="n">
        <x:v>84.059</x:v>
      </x:c>
      <x:c r="F318" s="31" t="str"/>
      <x:c r="G318" s="31" t="str">
        <x:f>IF(C318="","NO DATA",IF(C318&gt;=30,"ALERT","NORMAL"))</x:f>
        <x:v>NORMAL</x:v>
      </x:c>
      <x:c r="H318" s="31" t="str">
        <x:f>IF(C318="","MISSING",IF(C318&gt;=30,"HIGH TEMP","OK"))</x:f>
        <x:v>OK</x:v>
      </x:c>
      <x:c r="I318" s="31" t="str">
        <x:f>IF(E318="","NO DATA",IF(E318&lt;20,"LOW FLOW","OK"))</x:f>
        <x:v>OK</x:v>
      </x:c>
      <x:c r="J318" s="31" t="str">
        <x:f>IF(OR(C318="",D318="",E318=""),"MISSING",IF(OR(C318&lt;0,C318&gt;60,D318&lt;50,D318&gt;400,E318&lt;0,E318&gt;200),"REVIEW","OK"))</x:f>
        <x:v>OK</x:v>
      </x:c>
    </x:row>
    <x:row r="319">
      <x:c r="A319" s="31" t="n">
        <x:v>318</x:v>
      </x:c>
      <x:c r="B319" s="32" t="n">
        <x:v>46310.37002314815</x:v>
      </x:c>
      <x:c r="C319" s="33" t="n">
        <x:v>24.191</x:v>
      </x:c>
      <x:c r="D319" s="33" t="n">
        <x:v>206.541</x:v>
      </x:c>
      <x:c r="E319" s="33" t="n">
        <x:v>84.872</x:v>
      </x:c>
      <x:c r="F319" s="31" t="str"/>
      <x:c r="G319" s="31" t="str">
        <x:f>IF(C319="","NO DATA",IF(C319&gt;=30,"ALERT","NORMAL"))</x:f>
        <x:v>NORMAL</x:v>
      </x:c>
      <x:c r="H319" s="31" t="str">
        <x:f>IF(C319="","MISSING",IF(C319&gt;=30,"HIGH TEMP","OK"))</x:f>
        <x:v>OK</x:v>
      </x:c>
      <x:c r="I319" s="31" t="str">
        <x:f>IF(E319="","NO DATA",IF(E319&lt;20,"LOW FLOW","OK"))</x:f>
        <x:v>OK</x:v>
      </x:c>
      <x:c r="J319" s="31" t="str">
        <x:f>IF(OR(C319="",D319="",E319=""),"MISSING",IF(OR(C319&lt;0,C319&gt;60,D319&lt;50,D319&gt;400,E319&lt;0,E319&gt;200),"REVIEW","OK"))</x:f>
        <x:v>OK</x:v>
      </x:c>
    </x:row>
    <x:row r="320">
      <x:c r="A320" s="31" t="n">
        <x:v>319</x:v>
      </x:c>
      <x:c r="B320" s="32" t="n">
        <x:v>46310.37013888889</x:v>
      </x:c>
      <x:c r="C320" s="33" t="n">
        <x:v>23.956</x:v>
      </x:c>
      <x:c r="D320" s="33" t="n">
        <x:v>208.201</x:v>
      </x:c>
      <x:c r="E320" s="33" t="n">
        <x:v>83.976</x:v>
      </x:c>
      <x:c r="F320" s="31" t="str"/>
      <x:c r="G320" s="31" t="str">
        <x:f>IF(C320="","NO DATA",IF(C320&gt;=30,"ALERT","NORMAL"))</x:f>
        <x:v>NORMAL</x:v>
      </x:c>
      <x:c r="H320" s="31" t="str">
        <x:f>IF(C320="","MISSING",IF(C320&gt;=30,"HIGH TEMP","OK"))</x:f>
        <x:v>OK</x:v>
      </x:c>
      <x:c r="I320" s="31" t="str">
        <x:f>IF(E320="","NO DATA",IF(E320&lt;20,"LOW FLOW","OK"))</x:f>
        <x:v>OK</x:v>
      </x:c>
      <x:c r="J320" s="31" t="str">
        <x:f>IF(OR(C320="",D320="",E320=""),"MISSING",IF(OR(C320&lt;0,C320&gt;60,D320&lt;50,D320&gt;400,E320&lt;0,E320&gt;200),"REVIEW","OK"))</x:f>
        <x:v>OK</x:v>
      </x:c>
    </x:row>
    <x:row r="321">
      <x:c r="A321" s="31" t="n">
        <x:v>320</x:v>
      </x:c>
      <x:c r="B321" s="32" t="n">
        <x:v>46310.370254629626</x:v>
      </x:c>
      <x:c r="C321" s="33" t="n">
        <x:v>24.082</x:v>
      </x:c>
      <x:c r="D321" s="33" t="n">
        <x:v>207.466</x:v>
      </x:c>
      <x:c r="E321" s="33" t="n">
        <x:v>85.388</x:v>
      </x:c>
      <x:c r="F321" s="31" t="str"/>
      <x:c r="G321" s="31" t="str">
        <x:f>IF(C321="","NO DATA",IF(C321&gt;=30,"ALERT","NORMAL"))</x:f>
        <x:v>NORMAL</x:v>
      </x:c>
      <x:c r="H321" s="31" t="str">
        <x:f>IF(C321="","MISSING",IF(C321&gt;=30,"HIGH TEMP","OK"))</x:f>
        <x:v>OK</x:v>
      </x:c>
      <x:c r="I321" s="31" t="str">
        <x:f>IF(E321="","NO DATA",IF(E321&lt;20,"LOW FLOW","OK"))</x:f>
        <x:v>OK</x:v>
      </x:c>
      <x:c r="J321" s="31" t="str">
        <x:f>IF(OR(C321="",D321="",E321=""),"MISSING",IF(OR(C321&lt;0,C321&gt;60,D321&lt;50,D321&gt;400,E321&lt;0,E321&gt;200),"REVIEW","OK"))</x:f>
        <x:v>OK</x:v>
      </x:c>
    </x:row>
    <x:row r="322">
      <x:c r="A322" s="31" t="n">
        <x:v>321</x:v>
      </x:c>
      <x:c r="B322" s="32" t="n">
        <x:v>46310.37037037037</x:v>
      </x:c>
      <x:c r="C322" s="33" t="n">
        <x:v>24.25</x:v>
      </x:c>
      <x:c r="D322" s="33" t="n">
        <x:v>206.63</x:v>
      </x:c>
      <x:c r="E322" s="33" t="n">
        <x:v>85.335</x:v>
      </x:c>
      <x:c r="F322" s="31" t="str"/>
      <x:c r="G322" s="31" t="str">
        <x:f>IF(C322="","NO DATA",IF(C322&gt;=30,"ALERT","NORMAL"))</x:f>
        <x:v>NORMAL</x:v>
      </x:c>
      <x:c r="H322" s="31" t="str">
        <x:f>IF(C322="","MISSING",IF(C322&gt;=30,"HIGH TEMP","OK"))</x:f>
        <x:v>OK</x:v>
      </x:c>
      <x:c r="I322" s="31" t="str">
        <x:f>IF(E322="","NO DATA",IF(E322&lt;20,"LOW FLOW","OK"))</x:f>
        <x:v>OK</x:v>
      </x:c>
      <x:c r="J322" s="31" t="str">
        <x:f>IF(OR(C322="",D322="",E322=""),"MISSING",IF(OR(C322&lt;0,C322&gt;60,D322&lt;50,D322&gt;400,E322&lt;0,E322&gt;200),"REVIEW","OK"))</x:f>
        <x:v>OK</x:v>
      </x:c>
    </x:row>
    <x:row r="323">
      <x:c r="A323" s="31" t="n">
        <x:v>322</x:v>
      </x:c>
      <x:c r="B323" s="32" t="n">
        <x:v>46310.37048611111</x:v>
      </x:c>
      <x:c r="C323" s="33" t="n">
        <x:v>24.031</x:v>
      </x:c>
      <x:c r="D323" s="33" t="n">
        <x:v>206.538</x:v>
      </x:c>
      <x:c r="E323" s="33" t="n">
        <x:v>83.734</x:v>
      </x:c>
      <x:c r="F323" s="31" t="str"/>
      <x:c r="G323" s="31" t="str">
        <x:f>IF(C323="","NO DATA",IF(C323&gt;=30,"ALERT","NORMAL"))</x:f>
        <x:v>NORMAL</x:v>
      </x:c>
      <x:c r="H323" s="31" t="str">
        <x:f>IF(C323="","MISSING",IF(C323&gt;=30,"HIGH TEMP","OK"))</x:f>
        <x:v>OK</x:v>
      </x:c>
      <x:c r="I323" s="31" t="str">
        <x:f>IF(E323="","NO DATA",IF(E323&lt;20,"LOW FLOW","OK"))</x:f>
        <x:v>OK</x:v>
      </x:c>
      <x:c r="J323" s="31" t="str">
        <x:f>IF(OR(C323="",D323="",E323=""),"MISSING",IF(OR(C323&lt;0,C323&gt;60,D323&lt;50,D323&gt;400,E323&lt;0,E323&gt;200),"REVIEW","OK"))</x:f>
        <x:v>OK</x:v>
      </x:c>
    </x:row>
    <x:row r="324">
      <x:c r="A324" s="31" t="n">
        <x:v>323</x:v>
      </x:c>
      <x:c r="B324" s="32" t="n">
        <x:v>46310.37060185185</x:v>
      </x:c>
      <x:c r="C324" s="33" t="n">
        <x:v>24.151</x:v>
      </x:c>
      <x:c r="D324" s="33" t="n">
        <x:v>206.442</x:v>
      </x:c>
      <x:c r="E324" s="33" t="n">
        <x:v>85.718</x:v>
      </x:c>
      <x:c r="F324" s="31" t="str"/>
      <x:c r="G324" s="31" t="str">
        <x:f>IF(C324="","NO DATA",IF(C324&gt;=30,"ALERT","NORMAL"))</x:f>
        <x:v>NORMAL</x:v>
      </x:c>
      <x:c r="H324" s="31" t="str">
        <x:f>IF(C324="","MISSING",IF(C324&gt;=30,"HIGH TEMP","OK"))</x:f>
        <x:v>OK</x:v>
      </x:c>
      <x:c r="I324" s="31" t="str">
        <x:f>IF(E324="","NO DATA",IF(E324&lt;20,"LOW FLOW","OK"))</x:f>
        <x:v>OK</x:v>
      </x:c>
      <x:c r="J324" s="31" t="str">
        <x:f>IF(OR(C324="",D324="",E324=""),"MISSING",IF(OR(C324&lt;0,C324&gt;60,D324&lt;50,D324&gt;400,E324&lt;0,E324&gt;200),"REVIEW","OK"))</x:f>
        <x:v>OK</x:v>
      </x:c>
    </x:row>
    <x:row r="325">
      <x:c r="A325" s="31" t="n">
        <x:v>324</x:v>
      </x:c>
      <x:c r="B325" s="32" t="n">
        <x:v>46310.370717592596</x:v>
      </x:c>
      <x:c r="C325" s="33" t="n">
        <x:v>24.033</x:v>
      </x:c>
      <x:c r="D325" s="33" t="n">
        <x:v>206.257</x:v>
      </x:c>
      <x:c r="E325" s="33" t="n">
        <x:v>84.43</x:v>
      </x:c>
      <x:c r="F325" s="31" t="str"/>
      <x:c r="G325" s="31" t="str">
        <x:f>IF(C325="","NO DATA",IF(C325&gt;=30,"ALERT","NORMAL"))</x:f>
        <x:v>NORMAL</x:v>
      </x:c>
      <x:c r="H325" s="31" t="str">
        <x:f>IF(C325="","MISSING",IF(C325&gt;=30,"HIGH TEMP","OK"))</x:f>
        <x:v>OK</x:v>
      </x:c>
      <x:c r="I325" s="31" t="str">
        <x:f>IF(E325="","NO DATA",IF(E325&lt;20,"LOW FLOW","OK"))</x:f>
        <x:v>OK</x:v>
      </x:c>
      <x:c r="J325" s="31" t="str">
        <x:f>IF(OR(C325="",D325="",E325=""),"MISSING",IF(OR(C325&lt;0,C325&gt;60,D325&lt;50,D325&gt;400,E325&lt;0,E325&gt;200),"REVIEW","OK"))</x:f>
        <x:v>OK</x:v>
      </x:c>
    </x:row>
    <x:row r="326">
      <x:c r="A326" s="31" t="n">
        <x:v>325</x:v>
      </x:c>
      <x:c r="B326" s="32" t="n">
        <x:v>46310.370833333334</x:v>
      </x:c>
      <x:c r="C326" s="33" t="n">
        <x:v>24.327</x:v>
      </x:c>
      <x:c r="D326" s="33" t="n">
        <x:v>207.644</x:v>
      </x:c>
      <x:c r="E326" s="33" t="n">
        <x:v>83.531</x:v>
      </x:c>
      <x:c r="F326" s="31" t="str"/>
      <x:c r="G326" s="31" t="str">
        <x:f>IF(C326="","NO DATA",IF(C326&gt;=30,"ALERT","NORMAL"))</x:f>
        <x:v>NORMAL</x:v>
      </x:c>
      <x:c r="H326" s="31" t="str">
        <x:f>IF(C326="","MISSING",IF(C326&gt;=30,"HIGH TEMP","OK"))</x:f>
        <x:v>OK</x:v>
      </x:c>
      <x:c r="I326" s="31" t="str">
        <x:f>IF(E326="","NO DATA",IF(E326&lt;20,"LOW FLOW","OK"))</x:f>
        <x:v>OK</x:v>
      </x:c>
      <x:c r="J326" s="31" t="str">
        <x:f>IF(OR(C326="",D326="",E326=""),"MISSING",IF(OR(C326&lt;0,C326&gt;60,D326&lt;50,D326&gt;400,E326&lt;0,E326&gt;200),"REVIEW","OK"))</x:f>
        <x:v>OK</x:v>
      </x:c>
    </x:row>
    <x:row r="327">
      <x:c r="A327" s="31" t="n">
        <x:v>326</x:v>
      </x:c>
      <x:c r="B327" s="32" t="n">
        <x:v>46310.37094907407</x:v>
      </x:c>
      <x:c r="C327" s="33" t="n">
        <x:v>24.266</x:v>
      </x:c>
      <x:c r="D327" s="33" t="n">
        <x:v>206.646</x:v>
      </x:c>
      <x:c r="E327" s="33" t="n">
        <x:v>85.561</x:v>
      </x:c>
      <x:c r="F327" s="31" t="str"/>
      <x:c r="G327" s="31" t="str">
        <x:f>IF(C327="","NO DATA",IF(C327&gt;=30,"ALERT","NORMAL"))</x:f>
        <x:v>NORMAL</x:v>
      </x:c>
      <x:c r="H327" s="31" t="str">
        <x:f>IF(C327="","MISSING",IF(C327&gt;=30,"HIGH TEMP","OK"))</x:f>
        <x:v>OK</x:v>
      </x:c>
      <x:c r="I327" s="31" t="str">
        <x:f>IF(E327="","NO DATA",IF(E327&lt;20,"LOW FLOW","OK"))</x:f>
        <x:v>OK</x:v>
      </x:c>
      <x:c r="J327" s="31" t="str">
        <x:f>IF(OR(C327="",D327="",E327=""),"MISSING",IF(OR(C327&lt;0,C327&gt;60,D327&lt;50,D327&gt;400,E327&lt;0,E327&gt;200),"REVIEW","OK"))</x:f>
        <x:v>OK</x:v>
      </x:c>
    </x:row>
    <x:row r="328">
      <x:c r="A328" s="31" t="n">
        <x:v>327</x:v>
      </x:c>
      <x:c r="B328" s="32" t="n">
        <x:v>46310.37106481481</x:v>
      </x:c>
      <x:c r="C328" s="33" t="n">
        <x:v>24.186</x:v>
      </x:c>
      <x:c r="D328" s="33" t="n">
        <x:v>206.145</x:v>
      </x:c>
      <x:c r="E328" s="33" t="n">
        <x:v>83.586</x:v>
      </x:c>
      <x:c r="F328" s="31" t="str"/>
      <x:c r="G328" s="31" t="str">
        <x:f>IF(C328="","NO DATA",IF(C328&gt;=30,"ALERT","NORMAL"))</x:f>
        <x:v>NORMAL</x:v>
      </x:c>
      <x:c r="H328" s="31" t="str">
        <x:f>IF(C328="","MISSING",IF(C328&gt;=30,"HIGH TEMP","OK"))</x:f>
        <x:v>OK</x:v>
      </x:c>
      <x:c r="I328" s="31" t="str">
        <x:f>IF(E328="","NO DATA",IF(E328&lt;20,"LOW FLOW","OK"))</x:f>
        <x:v>OK</x:v>
      </x:c>
      <x:c r="J328" s="31" t="str">
        <x:f>IF(OR(C328="",D328="",E328=""),"MISSING",IF(OR(C328&lt;0,C328&gt;60,D328&lt;50,D328&gt;400,E328&lt;0,E328&gt;200),"REVIEW","OK"))</x:f>
        <x:v>OK</x:v>
      </x:c>
    </x:row>
    <x:row r="329">
      <x:c r="A329" s="31" t="n">
        <x:v>328</x:v>
      </x:c>
      <x:c r="B329" s="32" t="n">
        <x:v>46310.37118055556</x:v>
      </x:c>
      <x:c r="C329" s="33" t="n">
        <x:v>24.132</x:v>
      </x:c>
      <x:c r="D329" s="33" t="n">
        <x:v>207.437</x:v>
      </x:c>
      <x:c r="E329" s="33" t="n">
        <x:v>84.134</x:v>
      </x:c>
      <x:c r="F329" s="31" t="str"/>
      <x:c r="G329" s="31" t="str">
        <x:f>IF(C329="","NO DATA",IF(C329&gt;=30,"ALERT","NORMAL"))</x:f>
        <x:v>NORMAL</x:v>
      </x:c>
      <x:c r="H329" s="31" t="str">
        <x:f>IF(C329="","MISSING",IF(C329&gt;=30,"HIGH TEMP","OK"))</x:f>
        <x:v>OK</x:v>
      </x:c>
      <x:c r="I329" s="31" t="str">
        <x:f>IF(E329="","NO DATA",IF(E329&lt;20,"LOW FLOW","OK"))</x:f>
        <x:v>OK</x:v>
      </x:c>
      <x:c r="J329" s="31" t="str">
        <x:f>IF(OR(C329="",D329="",E329=""),"MISSING",IF(OR(C329&lt;0,C329&gt;60,D329&lt;50,D329&gt;400,E329&lt;0,E329&gt;200),"REVIEW","OK"))</x:f>
        <x:v>OK</x:v>
      </x:c>
    </x:row>
    <x:row r="330">
      <x:c r="A330" s="31" t="n">
        <x:v>329</x:v>
      </x:c>
      <x:c r="B330" s="32" t="n">
        <x:v>46310.371296296296</x:v>
      </x:c>
      <x:c r="C330" s="33" t="n">
        <x:v>24.312</x:v>
      </x:c>
      <x:c r="D330" s="33" t="n">
        <x:v>206.765</x:v>
      </x:c>
      <x:c r="E330" s="33" t="n">
        <x:v>84.383</x:v>
      </x:c>
      <x:c r="F330" s="31" t="str"/>
      <x:c r="G330" s="31" t="str">
        <x:f>IF(C330="","NO DATA",IF(C330&gt;=30,"ALERT","NORMAL"))</x:f>
        <x:v>NORMAL</x:v>
      </x:c>
      <x:c r="H330" s="31" t="str">
        <x:f>IF(C330="","MISSING",IF(C330&gt;=30,"HIGH TEMP","OK"))</x:f>
        <x:v>OK</x:v>
      </x:c>
      <x:c r="I330" s="31" t="str">
        <x:f>IF(E330="","NO DATA",IF(E330&lt;20,"LOW FLOW","OK"))</x:f>
        <x:v>OK</x:v>
      </x:c>
      <x:c r="J330" s="31" t="str">
        <x:f>IF(OR(C330="",D330="",E330=""),"MISSING",IF(OR(C330&lt;0,C330&gt;60,D330&lt;50,D330&gt;400,E330&lt;0,E330&gt;200),"REVIEW","OK"))</x:f>
        <x:v>OK</x:v>
      </x:c>
    </x:row>
    <x:row r="331">
      <x:c r="A331" s="31" t="n">
        <x:v>330</x:v>
      </x:c>
      <x:c r="B331" s="32" t="n">
        <x:v>46310.371412037035</x:v>
      </x:c>
      <x:c r="C331" s="33" t="n">
        <x:v>24.136</x:v>
      </x:c>
      <x:c r="D331" s="33" t="n">
        <x:v>207.15</x:v>
      </x:c>
      <x:c r="E331" s="33" t="n">
        <x:v>83.437</x:v>
      </x:c>
      <x:c r="F331" s="31" t="str"/>
      <x:c r="G331" s="31" t="str">
        <x:f>IF(C331="","NO DATA",IF(C331&gt;=30,"ALERT","NORMAL"))</x:f>
        <x:v>NORMAL</x:v>
      </x:c>
      <x:c r="H331" s="31" t="str">
        <x:f>IF(C331="","MISSING",IF(C331&gt;=30,"HIGH TEMP","OK"))</x:f>
        <x:v>OK</x:v>
      </x:c>
      <x:c r="I331" s="31" t="str">
        <x:f>IF(E331="","NO DATA",IF(E331&lt;20,"LOW FLOW","OK"))</x:f>
        <x:v>OK</x:v>
      </x:c>
      <x:c r="J331" s="31" t="str">
        <x:f>IF(OR(C331="",D331="",E331=""),"MISSING",IF(OR(C331&lt;0,C331&gt;60,D331&lt;50,D331&gt;400,E331&lt;0,E331&gt;200),"REVIEW","OK"))</x:f>
        <x:v>OK</x:v>
      </x:c>
    </x:row>
    <x:row r="332">
      <x:c r="A332" s="31" t="n">
        <x:v>331</x:v>
      </x:c>
      <x:c r="B332" s="32" t="n">
        <x:v>46310.37152777778</x:v>
      </x:c>
      <x:c r="C332" s="33" t="n">
        <x:v>24.184</x:v>
      </x:c>
      <x:c r="D332" s="33" t="n">
        <x:v>206.437</x:v>
      </x:c>
      <x:c r="E332" s="33" t="n">
        <x:v>82.916</x:v>
      </x:c>
      <x:c r="F332" s="31" t="str"/>
      <x:c r="G332" s="31" t="str">
        <x:f>IF(C332="","NO DATA",IF(C332&gt;=30,"ALERT","NORMAL"))</x:f>
        <x:v>NORMAL</x:v>
      </x:c>
      <x:c r="H332" s="31" t="str">
        <x:f>IF(C332="","MISSING",IF(C332&gt;=30,"HIGH TEMP","OK"))</x:f>
        <x:v>OK</x:v>
      </x:c>
      <x:c r="I332" s="31" t="str">
        <x:f>IF(E332="","NO DATA",IF(E332&lt;20,"LOW FLOW","OK"))</x:f>
        <x:v>OK</x:v>
      </x:c>
      <x:c r="J332" s="31" t="str">
        <x:f>IF(OR(C332="",D332="",E332=""),"MISSING",IF(OR(C332&lt;0,C332&gt;60,D332&lt;50,D332&gt;400,E332&lt;0,E332&gt;200),"REVIEW","OK"))</x:f>
        <x:v>OK</x:v>
      </x:c>
    </x:row>
    <x:row r="333">
      <x:c r="A333" s="31" t="n">
        <x:v>332</x:v>
      </x:c>
      <x:c r="B333" s="32" t="n">
        <x:v>46310.37164351852</x:v>
      </x:c>
      <x:c r="C333" s="33" t="n">
        <x:v>24.391</x:v>
      </x:c>
      <x:c r="D333" s="33" t="n">
        <x:v>205.322</x:v>
      </x:c>
      <x:c r="E333" s="33" t="n">
        <x:v>83.164</x:v>
      </x:c>
      <x:c r="F333" s="31" t="str"/>
      <x:c r="G333" s="31" t="str">
        <x:f>IF(C333="","NO DATA",IF(C333&gt;=30,"ALERT","NORMAL"))</x:f>
        <x:v>NORMAL</x:v>
      </x:c>
      <x:c r="H333" s="31" t="str">
        <x:f>IF(C333="","MISSING",IF(C333&gt;=30,"HIGH TEMP","OK"))</x:f>
        <x:v>OK</x:v>
      </x:c>
      <x:c r="I333" s="31" t="str">
        <x:f>IF(E333="","NO DATA",IF(E333&lt;20,"LOW FLOW","OK"))</x:f>
        <x:v>OK</x:v>
      </x:c>
      <x:c r="J333" s="31" t="str">
        <x:f>IF(OR(C333="",D333="",E333=""),"MISSING",IF(OR(C333&lt;0,C333&gt;60,D333&lt;50,D333&gt;400,E333&lt;0,E333&gt;200),"REVIEW","OK"))</x:f>
        <x:v>OK</x:v>
      </x:c>
    </x:row>
    <x:row r="334">
      <x:c r="A334" s="31" t="n">
        <x:v>333</x:v>
      </x:c>
      <x:c r="B334" s="32" t="n">
        <x:v>46310.37175925926</x:v>
      </x:c>
      <x:c r="C334" s="33" t="n">
        <x:v>24.438</x:v>
      </x:c>
      <x:c r="D334" s="33" t="n">
        <x:v>205.648</x:v>
      </x:c>
      <x:c r="E334" s="33" t="n">
        <x:v>82.89</x:v>
      </x:c>
      <x:c r="F334" s="31" t="str"/>
      <x:c r="G334" s="31" t="str">
        <x:f>IF(C334="","NO DATA",IF(C334&gt;=30,"ALERT","NORMAL"))</x:f>
        <x:v>NORMAL</x:v>
      </x:c>
      <x:c r="H334" s="31" t="str">
        <x:f>IF(C334="","MISSING",IF(C334&gt;=30,"HIGH TEMP","OK"))</x:f>
        <x:v>OK</x:v>
      </x:c>
      <x:c r="I334" s="31" t="str">
        <x:f>IF(E334="","NO DATA",IF(E334&lt;20,"LOW FLOW","OK"))</x:f>
        <x:v>OK</x:v>
      </x:c>
      <x:c r="J334" s="31" t="str">
        <x:f>IF(OR(C334="",D334="",E334=""),"MISSING",IF(OR(C334&lt;0,C334&gt;60,D334&lt;50,D334&gt;400,E334&lt;0,E334&gt;200),"REVIEW","OK"))</x:f>
        <x:v>OK</x:v>
      </x:c>
    </x:row>
    <x:row r="335">
      <x:c r="A335" s="31" t="n">
        <x:v>334</x:v>
      </x:c>
      <x:c r="B335" s="32" t="n">
        <x:v>46310.371875</x:v>
      </x:c>
      <x:c r="C335" s="33" t="n">
        <x:v>24.462</x:v>
      </x:c>
      <x:c r="D335" s="33" t="n">
        <x:v>204.636</x:v>
      </x:c>
      <x:c r="E335" s="33" t="n">
        <x:v>84.483</x:v>
      </x:c>
      <x:c r="F335" s="31" t="str"/>
      <x:c r="G335" s="31" t="str">
        <x:f>IF(C335="","NO DATA",IF(C335&gt;=30,"ALERT","NORMAL"))</x:f>
        <x:v>NORMAL</x:v>
      </x:c>
      <x:c r="H335" s="31" t="str">
        <x:f>IF(C335="","MISSING",IF(C335&gt;=30,"HIGH TEMP","OK"))</x:f>
        <x:v>OK</x:v>
      </x:c>
      <x:c r="I335" s="31" t="str">
        <x:f>IF(E335="","NO DATA",IF(E335&lt;20,"LOW FLOW","OK"))</x:f>
        <x:v>OK</x:v>
      </x:c>
      <x:c r="J335" s="31" t="str">
        <x:f>IF(OR(C335="",D335="",E335=""),"MISSING",IF(OR(C335&lt;0,C335&gt;60,D335&lt;50,D335&gt;400,E335&lt;0,E335&gt;200),"REVIEW","OK"))</x:f>
        <x:v>OK</x:v>
      </x:c>
    </x:row>
    <x:row r="336">
      <x:c r="A336" s="31" t="n">
        <x:v>335</x:v>
      </x:c>
      <x:c r="B336" s="32" t="n">
        <x:v>46310.37199074074</x:v>
      </x:c>
      <x:c r="C336" s="33" t="n">
        <x:v>24.25</x:v>
      </x:c>
      <x:c r="D336" s="33" t="n">
        <x:v>204.988</x:v>
      </x:c>
      <x:c r="E336" s="33" t="n">
        <x:v>82.908</x:v>
      </x:c>
      <x:c r="F336" s="31" t="str"/>
      <x:c r="G336" s="31" t="str">
        <x:f>IF(C336="","NO DATA",IF(C336&gt;=30,"ALERT","NORMAL"))</x:f>
        <x:v>NORMAL</x:v>
      </x:c>
      <x:c r="H336" s="31" t="str">
        <x:f>IF(C336="","MISSING",IF(C336&gt;=30,"HIGH TEMP","OK"))</x:f>
        <x:v>OK</x:v>
      </x:c>
      <x:c r="I336" s="31" t="str">
        <x:f>IF(E336="","NO DATA",IF(E336&lt;20,"LOW FLOW","OK"))</x:f>
        <x:v>OK</x:v>
      </x:c>
      <x:c r="J336" s="31" t="str">
        <x:f>IF(OR(C336="",D336="",E336=""),"MISSING",IF(OR(C336&lt;0,C336&gt;60,D336&lt;50,D336&gt;400,E336&lt;0,E336&gt;200),"REVIEW","OK"))</x:f>
        <x:v>OK</x:v>
      </x:c>
    </x:row>
    <x:row r="337">
      <x:c r="A337" s="31" t="n">
        <x:v>336</x:v>
      </x:c>
      <x:c r="B337" s="32" t="n">
        <x:v>46310.37210648148</x:v>
      </x:c>
      <x:c r="C337" s="33" t="n">
        <x:v>24.273</x:v>
      </x:c>
      <x:c r="D337" s="33" t="n">
        <x:v>206.554</x:v>
      </x:c>
      <x:c r="E337" s="33" t="n">
        <x:v>82.249</x:v>
      </x:c>
      <x:c r="F337" s="31" t="str"/>
      <x:c r="G337" s="31" t="str">
        <x:f>IF(C337="","NO DATA",IF(C337&gt;=30,"ALERT","NORMAL"))</x:f>
        <x:v>NORMAL</x:v>
      </x:c>
      <x:c r="H337" s="31" t="str">
        <x:f>IF(C337="","MISSING",IF(C337&gt;=30,"HIGH TEMP","OK"))</x:f>
        <x:v>OK</x:v>
      </x:c>
      <x:c r="I337" s="31" t="str">
        <x:f>IF(E337="","NO DATA",IF(E337&lt;20,"LOW FLOW","OK"))</x:f>
        <x:v>OK</x:v>
      </x:c>
      <x:c r="J337" s="31" t="str">
        <x:f>IF(OR(C337="",D337="",E337=""),"MISSING",IF(OR(C337&lt;0,C337&gt;60,D337&lt;50,D337&gt;400,E337&lt;0,E337&gt;200),"REVIEW","OK"))</x:f>
        <x:v>OK</x:v>
      </x:c>
    </x:row>
    <x:row r="338">
      <x:c r="A338" s="31" t="n">
        <x:v>337</x:v>
      </x:c>
      <x:c r="B338" s="32" t="n">
        <x:v>46310.37222222222</x:v>
      </x:c>
      <x:c r="C338" s="33" t="n">
        <x:v>24.238</x:v>
      </x:c>
      <x:c r="D338" s="33" t="n">
        <x:v>206.919</x:v>
      </x:c>
      <x:c r="E338" s="33" t="n">
        <x:v>82.636</x:v>
      </x:c>
      <x:c r="F338" s="31" t="str"/>
      <x:c r="G338" s="31" t="str">
        <x:f>IF(C338="","NO DATA",IF(C338&gt;=30,"ALERT","NORMAL"))</x:f>
        <x:v>NORMAL</x:v>
      </x:c>
      <x:c r="H338" s="31" t="str">
        <x:f>IF(C338="","MISSING",IF(C338&gt;=30,"HIGH TEMP","OK"))</x:f>
        <x:v>OK</x:v>
      </x:c>
      <x:c r="I338" s="31" t="str">
        <x:f>IF(E338="","NO DATA",IF(E338&lt;20,"LOW FLOW","OK"))</x:f>
        <x:v>OK</x:v>
      </x:c>
      <x:c r="J338" s="31" t="str">
        <x:f>IF(OR(C338="",D338="",E338=""),"MISSING",IF(OR(C338&lt;0,C338&gt;60,D338&lt;50,D338&gt;400,E338&lt;0,E338&gt;200),"REVIEW","OK"))</x:f>
        <x:v>OK</x:v>
      </x:c>
    </x:row>
    <x:row r="339">
      <x:c r="A339" s="31" t="n">
        <x:v>338</x:v>
      </x:c>
      <x:c r="B339" s="32" t="n">
        <x:v>46310.37233796297</x:v>
      </x:c>
      <x:c r="C339" s="33" t="n">
        <x:v>24.343</x:v>
      </x:c>
      <x:c r="D339" s="33" t="n">
        <x:v>205.054</x:v>
      </x:c>
      <x:c r="E339" s="33" t="n">
        <x:v>82.066</x:v>
      </x:c>
      <x:c r="F339" s="31" t="str"/>
      <x:c r="G339" s="31" t="str">
        <x:f>IF(C339="","NO DATA",IF(C339&gt;=30,"ALERT","NORMAL"))</x:f>
        <x:v>NORMAL</x:v>
      </x:c>
      <x:c r="H339" s="31" t="str">
        <x:f>IF(C339="","MISSING",IF(C339&gt;=30,"HIGH TEMP","OK"))</x:f>
        <x:v>OK</x:v>
      </x:c>
      <x:c r="I339" s="31" t="str">
        <x:f>IF(E339="","NO DATA",IF(E339&lt;20,"LOW FLOW","OK"))</x:f>
        <x:v>OK</x:v>
      </x:c>
      <x:c r="J339" s="31" t="str">
        <x:f>IF(OR(C339="",D339="",E339=""),"MISSING",IF(OR(C339&lt;0,C339&gt;60,D339&lt;50,D339&gt;400,E339&lt;0,E339&gt;200),"REVIEW","OK"))</x:f>
        <x:v>OK</x:v>
      </x:c>
    </x:row>
    <x:row r="340">
      <x:c r="A340" s="31" t="n">
        <x:v>339</x:v>
      </x:c>
      <x:c r="B340" s="32" t="n">
        <x:v>46310.372453703705</x:v>
      </x:c>
      <x:c r="C340" s="33" t="n">
        <x:v>24.48</x:v>
      </x:c>
      <x:c r="D340" s="33" t="n">
        <x:v>206.095</x:v>
      </x:c>
      <x:c r="E340" s="33" t="n">
        <x:v>83.602</x:v>
      </x:c>
      <x:c r="F340" s="31" t="str"/>
      <x:c r="G340" s="31" t="str">
        <x:f>IF(C340="","NO DATA",IF(C340&gt;=30,"ALERT","NORMAL"))</x:f>
        <x:v>NORMAL</x:v>
      </x:c>
      <x:c r="H340" s="31" t="str">
        <x:f>IF(C340="","MISSING",IF(C340&gt;=30,"HIGH TEMP","OK"))</x:f>
        <x:v>OK</x:v>
      </x:c>
      <x:c r="I340" s="31" t="str">
        <x:f>IF(E340="","NO DATA",IF(E340&lt;20,"LOW FLOW","OK"))</x:f>
        <x:v>OK</x:v>
      </x:c>
      <x:c r="J340" s="31" t="str">
        <x:f>IF(OR(C340="",D340="",E340=""),"MISSING",IF(OR(C340&lt;0,C340&gt;60,D340&lt;50,D340&gt;400,E340&lt;0,E340&gt;200),"REVIEW","OK"))</x:f>
        <x:v>OK</x:v>
      </x:c>
    </x:row>
    <x:row r="341">
      <x:c r="A341" s="31" t="n">
        <x:v>340</x:v>
      </x:c>
      <x:c r="B341" s="32" t="n">
        <x:v>46310.372569444444</x:v>
      </x:c>
      <x:c r="C341" s="33" t="n">
        <x:v>24.412</x:v>
      </x:c>
      <x:c r="D341" s="33" t="n">
        <x:v>206.841</x:v>
      </x:c>
      <x:c r="E341" s="33" t="n">
        <x:v>82.915</x:v>
      </x:c>
      <x:c r="F341" s="31" t="str"/>
      <x:c r="G341" s="31" t="str">
        <x:f>IF(C341="","NO DATA",IF(C341&gt;=30,"ALERT","NORMAL"))</x:f>
        <x:v>NORMAL</x:v>
      </x:c>
      <x:c r="H341" s="31" t="str">
        <x:f>IF(C341="","MISSING",IF(C341&gt;=30,"HIGH TEMP","OK"))</x:f>
        <x:v>OK</x:v>
      </x:c>
      <x:c r="I341" s="31" t="str">
        <x:f>IF(E341="","NO DATA",IF(E341&lt;20,"LOW FLOW","OK"))</x:f>
        <x:v>OK</x:v>
      </x:c>
      <x:c r="J341" s="31" t="str">
        <x:f>IF(OR(C341="",D341="",E341=""),"MISSING",IF(OR(C341&lt;0,C341&gt;60,D341&lt;50,D341&gt;400,E341&lt;0,E341&gt;200),"REVIEW","OK"))</x:f>
        <x:v>OK</x:v>
      </x:c>
    </x:row>
    <x:row r="342">
      <x:c r="A342" s="31" t="n">
        <x:v>341</x:v>
      </x:c>
      <x:c r="B342" s="32" t="n">
        <x:v>46310.37268518518</x:v>
      </x:c>
      <x:c r="C342" s="33" t="n">
        <x:v>24.312</x:v>
      </x:c>
      <x:c r="D342" s="33" t="n">
        <x:v>206.013</x:v>
      </x:c>
      <x:c r="E342" s="33" t="n">
        <x:v>83.821</x:v>
      </x:c>
      <x:c r="F342" s="31" t="str"/>
      <x:c r="G342" s="31" t="str">
        <x:f>IF(C342="","NO DATA",IF(C342&gt;=30,"ALERT","NORMAL"))</x:f>
        <x:v>NORMAL</x:v>
      </x:c>
      <x:c r="H342" s="31" t="str">
        <x:f>IF(C342="","MISSING",IF(C342&gt;=30,"HIGH TEMP","OK"))</x:f>
        <x:v>OK</x:v>
      </x:c>
      <x:c r="I342" s="31" t="str">
        <x:f>IF(E342="","NO DATA",IF(E342&lt;20,"LOW FLOW","OK"))</x:f>
        <x:v>OK</x:v>
      </x:c>
      <x:c r="J342" s="31" t="str">
        <x:f>IF(OR(C342="",D342="",E342=""),"MISSING",IF(OR(C342&lt;0,C342&gt;60,D342&lt;50,D342&gt;400,E342&lt;0,E342&gt;200),"REVIEW","OK"))</x:f>
        <x:v>OK</x:v>
      </x:c>
    </x:row>
    <x:row r="343">
      <x:c r="A343" s="31" t="n">
        <x:v>342</x:v>
      </x:c>
      <x:c r="B343" s="32" t="n">
        <x:v>46310.37280092593</x:v>
      </x:c>
      <x:c r="C343" s="33" t="n">
        <x:v>24.302</x:v>
      </x:c>
      <x:c r="D343" s="33" t="n">
        <x:v>206.85</x:v>
      </x:c>
      <x:c r="E343" s="33" t="n">
        <x:v>83.5</x:v>
      </x:c>
      <x:c r="F343" s="31" t="str"/>
      <x:c r="G343" s="31" t="str">
        <x:f>IF(C343="","NO DATA",IF(C343&gt;=30,"ALERT","NORMAL"))</x:f>
        <x:v>NORMAL</x:v>
      </x:c>
      <x:c r="H343" s="31" t="str">
        <x:f>IF(C343="","MISSING",IF(C343&gt;=30,"HIGH TEMP","OK"))</x:f>
        <x:v>OK</x:v>
      </x:c>
      <x:c r="I343" s="31" t="str">
        <x:f>IF(E343="","NO DATA",IF(E343&lt;20,"LOW FLOW","OK"))</x:f>
        <x:v>OK</x:v>
      </x:c>
      <x:c r="J343" s="31" t="str">
        <x:f>IF(OR(C343="",D343="",E343=""),"MISSING",IF(OR(C343&lt;0,C343&gt;60,D343&lt;50,D343&gt;400,E343&lt;0,E343&gt;200),"REVIEW","OK"))</x:f>
        <x:v>OK</x:v>
      </x:c>
    </x:row>
    <x:row r="344">
      <x:c r="A344" s="31" t="n">
        <x:v>343</x:v>
      </x:c>
      <x:c r="B344" s="32" t="n">
        <x:v>46310.37291666667</x:v>
      </x:c>
      <x:c r="C344" s="33" t="n">
        <x:v>24.455</x:v>
      </x:c>
      <x:c r="D344" s="33" t="n">
        <x:v>205.877</x:v>
      </x:c>
      <x:c r="E344" s="33" t="n">
        <x:v>83.599</x:v>
      </x:c>
      <x:c r="F344" s="31" t="str"/>
      <x:c r="G344" s="31" t="str">
        <x:f>IF(C344="","NO DATA",IF(C344&gt;=30,"ALERT","NORMAL"))</x:f>
        <x:v>NORMAL</x:v>
      </x:c>
      <x:c r="H344" s="31" t="str">
        <x:f>IF(C344="","MISSING",IF(C344&gt;=30,"HIGH TEMP","OK"))</x:f>
        <x:v>OK</x:v>
      </x:c>
      <x:c r="I344" s="31" t="str">
        <x:f>IF(E344="","NO DATA",IF(E344&lt;20,"LOW FLOW","OK"))</x:f>
        <x:v>OK</x:v>
      </x:c>
      <x:c r="J344" s="31" t="str">
        <x:f>IF(OR(C344="",D344="",E344=""),"MISSING",IF(OR(C344&lt;0,C344&gt;60,D344&lt;50,D344&gt;400,E344&lt;0,E344&gt;200),"REVIEW","OK"))</x:f>
        <x:v>OK</x:v>
      </x:c>
    </x:row>
    <x:row r="345">
      <x:c r="A345" s="31" t="n">
        <x:v>344</x:v>
      </x:c>
      <x:c r="B345" s="32" t="n">
        <x:v>46310.373032407406</x:v>
      </x:c>
      <x:c r="C345" s="33" t="n">
        <x:v>24.325</x:v>
      </x:c>
      <x:c r="D345" s="33" t="n">
        <x:v>205.946</x:v>
      </x:c>
      <x:c r="E345" s="33" t="n">
        <x:v>82.114</x:v>
      </x:c>
      <x:c r="F345" s="31" t="str"/>
      <x:c r="G345" s="31" t="str">
        <x:f>IF(C345="","NO DATA",IF(C345&gt;=30,"ALERT","NORMAL"))</x:f>
        <x:v>NORMAL</x:v>
      </x:c>
      <x:c r="H345" s="31" t="str">
        <x:f>IF(C345="","MISSING",IF(C345&gt;=30,"HIGH TEMP","OK"))</x:f>
        <x:v>OK</x:v>
      </x:c>
      <x:c r="I345" s="31" t="str">
        <x:f>IF(E345="","NO DATA",IF(E345&lt;20,"LOW FLOW","OK"))</x:f>
        <x:v>OK</x:v>
      </x:c>
      <x:c r="J345" s="31" t="str">
        <x:f>IF(OR(C345="",D345="",E345=""),"MISSING",IF(OR(C345&lt;0,C345&gt;60,D345&lt;50,D345&gt;400,E345&lt;0,E345&gt;200),"REVIEW","OK"))</x:f>
        <x:v>OK</x:v>
      </x:c>
    </x:row>
    <x:row r="346">
      <x:c r="A346" s="31" t="n">
        <x:v>345</x:v>
      </x:c>
      <x:c r="B346" s="32" t="n">
        <x:v>46310.373148148145</x:v>
      </x:c>
      <x:c r="C346" s="33" t="n">
        <x:v>24.521</x:v>
      </x:c>
      <x:c r="D346" s="33" t="n">
        <x:v>205.991</x:v>
      </x:c>
      <x:c r="E346" s="33" t="n">
        <x:v>83.198</x:v>
      </x:c>
      <x:c r="F346" s="31" t="str"/>
      <x:c r="G346" s="31" t="str">
        <x:f>IF(C346="","NO DATA",IF(C346&gt;=30,"ALERT","NORMAL"))</x:f>
        <x:v>NORMAL</x:v>
      </x:c>
      <x:c r="H346" s="31" t="str">
        <x:f>IF(C346="","MISSING",IF(C346&gt;=30,"HIGH TEMP","OK"))</x:f>
        <x:v>OK</x:v>
      </x:c>
      <x:c r="I346" s="31" t="str">
        <x:f>IF(E346="","NO DATA",IF(E346&lt;20,"LOW FLOW","OK"))</x:f>
        <x:v>OK</x:v>
      </x:c>
      <x:c r="J346" s="31" t="str">
        <x:f>IF(OR(C346="",D346="",E346=""),"MISSING",IF(OR(C346&lt;0,C346&gt;60,D346&lt;50,D346&gt;400,E346&lt;0,E346&gt;200),"REVIEW","OK"))</x:f>
        <x:v>OK</x:v>
      </x:c>
    </x:row>
    <x:row r="347">
      <x:c r="A347" s="31" t="n">
        <x:v>346</x:v>
      </x:c>
      <x:c r="B347" s="32" t="n">
        <x:v>46310.37326388889</x:v>
      </x:c>
      <x:c r="C347" s="33" t="n">
        <x:v>24.344</x:v>
      </x:c>
      <x:c r="D347" s="33" t="n">
        <x:v>204.778</x:v>
      </x:c>
      <x:c r="E347" s="33" t="n">
        <x:v>82.338</x:v>
      </x:c>
      <x:c r="F347" s="31" t="str"/>
      <x:c r="G347" s="31" t="str">
        <x:f>IF(C347="","NO DATA",IF(C347&gt;=30,"ALERT","NORMAL"))</x:f>
        <x:v>NORMAL</x:v>
      </x:c>
      <x:c r="H347" s="31" t="str">
        <x:f>IF(C347="","MISSING",IF(C347&gt;=30,"HIGH TEMP","OK"))</x:f>
        <x:v>OK</x:v>
      </x:c>
      <x:c r="I347" s="31" t="str">
        <x:f>IF(E347="","NO DATA",IF(E347&lt;20,"LOW FLOW","OK"))</x:f>
        <x:v>OK</x:v>
      </x:c>
      <x:c r="J347" s="31" t="str">
        <x:f>IF(OR(C347="",D347="",E347=""),"MISSING",IF(OR(C347&lt;0,C347&gt;60,D347&lt;50,D347&gt;400,E347&lt;0,E347&gt;200),"REVIEW","OK"))</x:f>
        <x:v>OK</x:v>
      </x:c>
    </x:row>
    <x:row r="348">
      <x:c r="A348" s="31" t="n">
        <x:v>347</x:v>
      </x:c>
      <x:c r="B348" s="32" t="n">
        <x:v>46310.37337962963</x:v>
      </x:c>
      <x:c r="C348" s="33" t="n">
        <x:v>24.348</x:v>
      </x:c>
      <x:c r="D348" s="33" t="n">
        <x:v>205.38</x:v>
      </x:c>
      <x:c r="E348" s="33" t="n">
        <x:v>82.261</x:v>
      </x:c>
      <x:c r="F348" s="31" t="str"/>
      <x:c r="G348" s="31" t="str">
        <x:f>IF(C348="","NO DATA",IF(C348&gt;=30,"ALERT","NORMAL"))</x:f>
        <x:v>NORMAL</x:v>
      </x:c>
      <x:c r="H348" s="31" t="str">
        <x:f>IF(C348="","MISSING",IF(C348&gt;=30,"HIGH TEMP","OK"))</x:f>
        <x:v>OK</x:v>
      </x:c>
      <x:c r="I348" s="31" t="str">
        <x:f>IF(E348="","NO DATA",IF(E348&lt;20,"LOW FLOW","OK"))</x:f>
        <x:v>OK</x:v>
      </x:c>
      <x:c r="J348" s="31" t="str">
        <x:f>IF(OR(C348="",D348="",E348=""),"MISSING",IF(OR(C348&lt;0,C348&gt;60,D348&lt;50,D348&gt;400,E348&lt;0,E348&gt;200),"REVIEW","OK"))</x:f>
        <x:v>OK</x:v>
      </x:c>
    </x:row>
    <x:row r="349">
      <x:c r="A349" s="31" t="n">
        <x:v>348</x:v>
      </x:c>
      <x:c r="B349" s="32" t="n">
        <x:v>46310.37349537037</x:v>
      </x:c>
      <x:c r="C349" s="33" t="n">
        <x:v>24.498</x:v>
      </x:c>
      <x:c r="D349" s="33" t="n">
        <x:v>205.554</x:v>
      </x:c>
      <x:c r="E349" s="33" t="n">
        <x:v>82.993</x:v>
      </x:c>
      <x:c r="F349" s="31" t="str"/>
      <x:c r="G349" s="31" t="str">
        <x:f>IF(C349="","NO DATA",IF(C349&gt;=30,"ALERT","NORMAL"))</x:f>
        <x:v>NORMAL</x:v>
      </x:c>
      <x:c r="H349" s="31" t="str">
        <x:f>IF(C349="","MISSING",IF(C349&gt;=30,"HIGH TEMP","OK"))</x:f>
        <x:v>OK</x:v>
      </x:c>
      <x:c r="I349" s="31" t="str">
        <x:f>IF(E349="","NO DATA",IF(E349&lt;20,"LOW FLOW","OK"))</x:f>
        <x:v>OK</x:v>
      </x:c>
      <x:c r="J349" s="31" t="str">
        <x:f>IF(OR(C349="",D349="",E349=""),"MISSING",IF(OR(C349&lt;0,C349&gt;60,D349&lt;50,D349&gt;400,E349&lt;0,E349&gt;200),"REVIEW","OK"))</x:f>
        <x:v>OK</x:v>
      </x:c>
    </x:row>
    <x:row r="350">
      <x:c r="A350" s="31" t="n">
        <x:v>349</x:v>
      </x:c>
      <x:c r="B350" s="32" t="n">
        <x:v>46310.373611111114</x:v>
      </x:c>
      <x:c r="C350" s="33" t="n">
        <x:v>24.497</x:v>
      </x:c>
      <x:c r="D350" s="33" t="n">
        <x:v>205.967</x:v>
      </x:c>
      <x:c r="E350" s="33" t="n">
        <x:v>81.923</x:v>
      </x:c>
      <x:c r="F350" s="31" t="str"/>
      <x:c r="G350" s="31" t="str">
        <x:f>IF(C350="","NO DATA",IF(C350&gt;=30,"ALERT","NORMAL"))</x:f>
        <x:v>NORMAL</x:v>
      </x:c>
      <x:c r="H350" s="31" t="str">
        <x:f>IF(C350="","MISSING",IF(C350&gt;=30,"HIGH TEMP","OK"))</x:f>
        <x:v>OK</x:v>
      </x:c>
      <x:c r="I350" s="31" t="str">
        <x:f>IF(E350="","NO DATA",IF(E350&lt;20,"LOW FLOW","OK"))</x:f>
        <x:v>OK</x:v>
      </x:c>
      <x:c r="J350" s="31" t="str">
        <x:f>IF(OR(C350="",D350="",E350=""),"MISSING",IF(OR(C350&lt;0,C350&gt;60,D350&lt;50,D350&gt;400,E350&lt;0,E350&gt;200),"REVIEW","OK"))</x:f>
        <x:v>OK</x:v>
      </x:c>
    </x:row>
    <x:row r="351">
      <x:c r="A351" s="31" t="n">
        <x:v>350</x:v>
      </x:c>
      <x:c r="B351" s="32" t="n">
        <x:v>46310.37372685185</x:v>
      </x:c>
      <x:c r="C351" s="33" t="n">
        <x:v>24.372</x:v>
      </x:c>
      <x:c r="D351" s="33" t="n">
        <x:v>206.742</x:v>
      </x:c>
      <x:c r="E351" s="33" t="n">
        <x:v>82.382</x:v>
      </x:c>
      <x:c r="F351" s="31" t="str"/>
      <x:c r="G351" s="31" t="str">
        <x:f>IF(C351="","NO DATA",IF(C351&gt;=30,"ALERT","NORMAL"))</x:f>
        <x:v>NORMAL</x:v>
      </x:c>
      <x:c r="H351" s="31" t="str">
        <x:f>IF(C351="","MISSING",IF(C351&gt;=30,"HIGH TEMP","OK"))</x:f>
        <x:v>OK</x:v>
      </x:c>
      <x:c r="I351" s="31" t="str">
        <x:f>IF(E351="","NO DATA",IF(E351&lt;20,"LOW FLOW","OK"))</x:f>
        <x:v>OK</x:v>
      </x:c>
      <x:c r="J351" s="31" t="str">
        <x:f>IF(OR(C351="",D351="",E351=""),"MISSING",IF(OR(C351&lt;0,C351&gt;60,D351&lt;50,D351&gt;400,E351&lt;0,E351&gt;200),"REVIEW","OK"))</x:f>
        <x:v>OK</x:v>
      </x:c>
    </x:row>
    <x:row r="352">
      <x:c r="A352" s="31" t="n">
        <x:v>351</x:v>
      </x:c>
      <x:c r="B352" s="32" t="n">
        <x:v>46310.37384259259</x:v>
      </x:c>
      <x:c r="C352" s="33" t="n">
        <x:v>24.541</x:v>
      </x:c>
      <x:c r="D352" s="33" t="n">
        <x:v>206.979</x:v>
      </x:c>
      <x:c r="E352" s="33" t="n">
        <x:v>81.931</x:v>
      </x:c>
      <x:c r="F352" s="31" t="str"/>
      <x:c r="G352" s="31" t="str">
        <x:f>IF(C352="","NO DATA",IF(C352&gt;=30,"ALERT","NORMAL"))</x:f>
        <x:v>NORMAL</x:v>
      </x:c>
      <x:c r="H352" s="31" t="str">
        <x:f>IF(C352="","MISSING",IF(C352&gt;=30,"HIGH TEMP","OK"))</x:f>
        <x:v>OK</x:v>
      </x:c>
      <x:c r="I352" s="31" t="str">
        <x:f>IF(E352="","NO DATA",IF(E352&lt;20,"LOW FLOW","OK"))</x:f>
        <x:v>OK</x:v>
      </x:c>
      <x:c r="J352" s="31" t="str">
        <x:f>IF(OR(C352="",D352="",E352=""),"MISSING",IF(OR(C352&lt;0,C352&gt;60,D352&lt;50,D352&gt;400,E352&lt;0,E352&gt;200),"REVIEW","OK"))</x:f>
        <x:v>OK</x:v>
      </x:c>
    </x:row>
    <x:row r="353">
      <x:c r="A353" s="31" t="n">
        <x:v>352</x:v>
      </x:c>
      <x:c r="B353" s="32" t="n">
        <x:v>46310.37395833333</x:v>
      </x:c>
      <x:c r="C353" s="33" t="n">
        <x:v>24.412</x:v>
      </x:c>
      <x:c r="D353" s="33" t="n">
        <x:v>206.067</x:v>
      </x:c>
      <x:c r="E353" s="33" t="n">
        <x:v>80.616</x:v>
      </x:c>
      <x:c r="F353" s="31" t="str"/>
      <x:c r="G353" s="31" t="str">
        <x:f>IF(C353="","NO DATA",IF(C353&gt;=30,"ALERT","NORMAL"))</x:f>
        <x:v>NORMAL</x:v>
      </x:c>
      <x:c r="H353" s="31" t="str">
        <x:f>IF(C353="","MISSING",IF(C353&gt;=30,"HIGH TEMP","OK"))</x:f>
        <x:v>OK</x:v>
      </x:c>
      <x:c r="I353" s="31" t="str">
        <x:f>IF(E353="","NO DATA",IF(E353&lt;20,"LOW FLOW","OK"))</x:f>
        <x:v>OK</x:v>
      </x:c>
      <x:c r="J353" s="31" t="str">
        <x:f>IF(OR(C353="",D353="",E353=""),"MISSING",IF(OR(C353&lt;0,C353&gt;60,D353&lt;50,D353&gt;400,E353&lt;0,E353&gt;200),"REVIEW","OK"))</x:f>
        <x:v>OK</x:v>
      </x:c>
    </x:row>
    <x:row r="354">
      <x:c r="A354" s="31" t="n">
        <x:v>353</x:v>
      </x:c>
      <x:c r="B354" s="32" t="n">
        <x:v>46310.374074074076</x:v>
      </x:c>
      <x:c r="C354" s="33" t="n">
        <x:v>24.451</x:v>
      </x:c>
      <x:c r="D354" s="33" t="n">
        <x:v>206.116</x:v>
      </x:c>
      <x:c r="E354" s="33" t="n">
        <x:v>80.935</x:v>
      </x:c>
      <x:c r="F354" s="31" t="str"/>
      <x:c r="G354" s="31" t="str">
        <x:f>IF(C354="","NO DATA",IF(C354&gt;=30,"ALERT","NORMAL"))</x:f>
        <x:v>NORMAL</x:v>
      </x:c>
      <x:c r="H354" s="31" t="str">
        <x:f>IF(C354="","MISSING",IF(C354&gt;=30,"HIGH TEMP","OK"))</x:f>
        <x:v>OK</x:v>
      </x:c>
      <x:c r="I354" s="31" t="str">
        <x:f>IF(E354="","NO DATA",IF(E354&lt;20,"LOW FLOW","OK"))</x:f>
        <x:v>OK</x:v>
      </x:c>
      <x:c r="J354" s="31" t="str">
        <x:f>IF(OR(C354="",D354="",E354=""),"MISSING",IF(OR(C354&lt;0,C354&gt;60,D354&lt;50,D354&gt;400,E354&lt;0,E354&gt;200),"REVIEW","OK"))</x:f>
        <x:v>OK</x:v>
      </x:c>
    </x:row>
    <x:row r="355">
      <x:c r="A355" s="31" t="n">
        <x:v>354</x:v>
      </x:c>
      <x:c r="B355" s="32" t="n">
        <x:v>46310.374189814815</x:v>
      </x:c>
      <x:c r="C355" s="33" t="n">
        <x:v>24.378</x:v>
      </x:c>
      <x:c r="D355" s="33" t="n">
        <x:v>206.083</x:v>
      </x:c>
      <x:c r="E355" s="33" t="n">
        <x:v>81.403</x:v>
      </x:c>
      <x:c r="F355" s="31" t="str"/>
      <x:c r="G355" s="31" t="str">
        <x:f>IF(C355="","NO DATA",IF(C355&gt;=30,"ALERT","NORMAL"))</x:f>
        <x:v>NORMAL</x:v>
      </x:c>
      <x:c r="H355" s="31" t="str">
        <x:f>IF(C355="","MISSING",IF(C355&gt;=30,"HIGH TEMP","OK"))</x:f>
        <x:v>OK</x:v>
      </x:c>
      <x:c r="I355" s="31" t="str">
        <x:f>IF(E355="","NO DATA",IF(E355&lt;20,"LOW FLOW","OK"))</x:f>
        <x:v>OK</x:v>
      </x:c>
      <x:c r="J355" s="31" t="str">
        <x:f>IF(OR(C355="",D355="",E355=""),"MISSING",IF(OR(C355&lt;0,C355&gt;60,D355&lt;50,D355&gt;400,E355&lt;0,E355&gt;200),"REVIEW","OK"))</x:f>
        <x:v>OK</x:v>
      </x:c>
    </x:row>
    <x:row r="356">
      <x:c r="A356" s="31" t="n">
        <x:v>355</x:v>
      </x:c>
      <x:c r="B356" s="32" t="n">
        <x:v>46310.37430555555</x:v>
      </x:c>
      <x:c r="C356" s="33" t="n">
        <x:v>24.462</x:v>
      </x:c>
      <x:c r="D356" s="33" t="n">
        <x:v>205.312</x:v>
      </x:c>
      <x:c r="E356" s="33" t="n">
        <x:v>81.894</x:v>
      </x:c>
      <x:c r="F356" s="31" t="str"/>
      <x:c r="G356" s="31" t="str">
        <x:f>IF(C356="","NO DATA",IF(C356&gt;=30,"ALERT","NORMAL"))</x:f>
        <x:v>NORMAL</x:v>
      </x:c>
      <x:c r="H356" s="31" t="str">
        <x:f>IF(C356="","MISSING",IF(C356&gt;=30,"HIGH TEMP","OK"))</x:f>
        <x:v>OK</x:v>
      </x:c>
      <x:c r="I356" s="31" t="str">
        <x:f>IF(E356="","NO DATA",IF(E356&lt;20,"LOW FLOW","OK"))</x:f>
        <x:v>OK</x:v>
      </x:c>
      <x:c r="J356" s="31" t="str">
        <x:f>IF(OR(C356="",D356="",E356=""),"MISSING",IF(OR(C356&lt;0,C356&gt;60,D356&lt;50,D356&gt;400,E356&lt;0,E356&gt;200),"REVIEW","OK"))</x:f>
        <x:v>OK</x:v>
      </x:c>
    </x:row>
    <x:row r="357">
      <x:c r="A357" s="31" t="n">
        <x:v>356</x:v>
      </x:c>
      <x:c r="B357" s="32" t="n">
        <x:v>46310.3744212963</x:v>
      </x:c>
      <x:c r="C357" s="33" t="n">
        <x:v>24.369</x:v>
      </x:c>
      <x:c r="D357" s="33" t="n">
        <x:v>207.404</x:v>
      </x:c>
      <x:c r="E357" s="33" t="n">
        <x:v>79.778</x:v>
      </x:c>
      <x:c r="F357" s="31" t="str"/>
      <x:c r="G357" s="31" t="str">
        <x:f>IF(C357="","NO DATA",IF(C357&gt;=30,"ALERT","NORMAL"))</x:f>
        <x:v>NORMAL</x:v>
      </x:c>
      <x:c r="H357" s="31" t="str">
        <x:f>IF(C357="","MISSING",IF(C357&gt;=30,"HIGH TEMP","OK"))</x:f>
        <x:v>OK</x:v>
      </x:c>
      <x:c r="I357" s="31" t="str">
        <x:f>IF(E357="","NO DATA",IF(E357&lt;20,"LOW FLOW","OK"))</x:f>
        <x:v>OK</x:v>
      </x:c>
      <x:c r="J357" s="31" t="str">
        <x:f>IF(OR(C357="",D357="",E357=""),"MISSING",IF(OR(C357&lt;0,C357&gt;60,D357&lt;50,D357&gt;400,E357&lt;0,E357&gt;200),"REVIEW","OK"))</x:f>
        <x:v>OK</x:v>
      </x:c>
    </x:row>
    <x:row r="358">
      <x:c r="A358" s="31" t="n">
        <x:v>357</x:v>
      </x:c>
      <x:c r="B358" s="32" t="n">
        <x:v>46310.37453703704</x:v>
      </x:c>
      <x:c r="C358" s="33" t="n">
        <x:v>24.376</x:v>
      </x:c>
      <x:c r="D358" s="33" t="n">
        <x:v>207.184</x:v>
      </x:c>
      <x:c r="E358" s="33" t="n">
        <x:v>81.379</x:v>
      </x:c>
      <x:c r="F358" s="31" t="str"/>
      <x:c r="G358" s="31" t="str">
        <x:f>IF(C358="","NO DATA",IF(C358&gt;=30,"ALERT","NORMAL"))</x:f>
        <x:v>NORMAL</x:v>
      </x:c>
      <x:c r="H358" s="31" t="str">
        <x:f>IF(C358="","MISSING",IF(C358&gt;=30,"HIGH TEMP","OK"))</x:f>
        <x:v>OK</x:v>
      </x:c>
      <x:c r="I358" s="31" t="str">
        <x:f>IF(E358="","NO DATA",IF(E358&lt;20,"LOW FLOW","OK"))</x:f>
        <x:v>OK</x:v>
      </x:c>
      <x:c r="J358" s="31" t="str">
        <x:f>IF(OR(C358="",D358="",E358=""),"MISSING",IF(OR(C358&lt;0,C358&gt;60,D358&lt;50,D358&gt;400,E358&lt;0,E358&gt;200),"REVIEW","OK"))</x:f>
        <x:v>OK</x:v>
      </x:c>
    </x:row>
    <x:row r="359">
      <x:c r="A359" s="31" t="n">
        <x:v>358</x:v>
      </x:c>
      <x:c r="B359" s="32" t="n">
        <x:v>46310.37465277778</x:v>
      </x:c>
      <x:c r="C359" s="33" t="n">
        <x:v>24.512</x:v>
      </x:c>
      <x:c r="D359" s="33" t="n">
        <x:v>206.789</x:v>
      </x:c>
      <x:c r="E359" s="33" t="n">
        <x:v>80.659</x:v>
      </x:c>
      <x:c r="F359" s="31" t="str"/>
      <x:c r="G359" s="31" t="str">
        <x:f>IF(C359="","NO DATA",IF(C359&gt;=30,"ALERT","NORMAL"))</x:f>
        <x:v>NORMAL</x:v>
      </x:c>
      <x:c r="H359" s="31" t="str">
        <x:f>IF(C359="","MISSING",IF(C359&gt;=30,"HIGH TEMP","OK"))</x:f>
        <x:v>OK</x:v>
      </x:c>
      <x:c r="I359" s="31" t="str">
        <x:f>IF(E359="","NO DATA",IF(E359&lt;20,"LOW FLOW","OK"))</x:f>
        <x:v>OK</x:v>
      </x:c>
      <x:c r="J359" s="31" t="str">
        <x:f>IF(OR(C359="",D359="",E359=""),"MISSING",IF(OR(C359&lt;0,C359&gt;60,D359&lt;50,D359&gt;400,E359&lt;0,E359&gt;200),"REVIEW","OK"))</x:f>
        <x:v>OK</x:v>
      </x:c>
    </x:row>
    <x:row r="360">
      <x:c r="A360" s="31" t="n">
        <x:v>359</x:v>
      </x:c>
      <x:c r="B360" s="32" t="n">
        <x:v>46310.374768518515</x:v>
      </x:c>
      <x:c r="C360" s="33" t="n">
        <x:v>24.441</x:v>
      </x:c>
      <x:c r="D360" s="33" t="n">
        <x:v>205.462</x:v>
      </x:c>
      <x:c r="E360" s="33" t="n">
        <x:v>80.043</x:v>
      </x:c>
      <x:c r="F360" s="31" t="str"/>
      <x:c r="G360" s="31" t="str">
        <x:f>IF(C360="","NO DATA",IF(C360&gt;=30,"ALERT","NORMAL"))</x:f>
        <x:v>NORMAL</x:v>
      </x:c>
      <x:c r="H360" s="31" t="str">
        <x:f>IF(C360="","MISSING",IF(C360&gt;=30,"HIGH TEMP","OK"))</x:f>
        <x:v>OK</x:v>
      </x:c>
      <x:c r="I360" s="31" t="str">
        <x:f>IF(E360="","NO DATA",IF(E360&lt;20,"LOW FLOW","OK"))</x:f>
        <x:v>OK</x:v>
      </x:c>
      <x:c r="J360" s="31" t="str">
        <x:f>IF(OR(C360="",D360="",E360=""),"MISSING",IF(OR(C360&lt;0,C360&gt;60,D360&lt;50,D360&gt;400,E360&lt;0,E360&gt;200),"REVIEW","OK"))</x:f>
        <x:v>OK</x:v>
      </x:c>
    </x:row>
    <x:row r="361">
      <x:c r="A361" s="31" t="n">
        <x:v>360</x:v>
      </x:c>
      <x:c r="B361" s="32" t="n">
        <x:v>46310.37488425926</x:v>
      </x:c>
      <x:c r="C361" s="33" t="n">
        <x:v>24.537</x:v>
      </x:c>
      <x:c r="D361" s="33" t="n">
        <x:v>207.416</x:v>
      </x:c>
      <x:c r="E361" s="33" t="n">
        <x:v>81.164</x:v>
      </x:c>
      <x:c r="F361" s="31" t="str"/>
      <x:c r="G361" s="31" t="str">
        <x:f>IF(C361="","NO DATA",IF(C361&gt;=30,"ALERT","NORMAL"))</x:f>
        <x:v>NORMAL</x:v>
      </x:c>
      <x:c r="H361" s="31" t="str">
        <x:f>IF(C361="","MISSING",IF(C361&gt;=30,"HIGH TEMP","OK"))</x:f>
        <x:v>OK</x:v>
      </x:c>
      <x:c r="I361" s="31" t="str">
        <x:f>IF(E361="","NO DATA",IF(E361&lt;20,"LOW FLOW","OK"))</x:f>
        <x:v>OK</x:v>
      </x:c>
      <x:c r="J361" s="31" t="str">
        <x:f>IF(OR(C361="",D361="",E361=""),"MISSING",IF(OR(C361&lt;0,C361&gt;60,D361&lt;50,D361&gt;400,E361&lt;0,E361&gt;200),"REVIEW","OK"))</x:f>
        <x:v>OK</x:v>
      </x:c>
    </x:row>
    <x:row r="362">
      <x:c r="A362" s="31" t="n">
        <x:v>361</x:v>
      </x:c>
      <x:c r="B362" s="32" t="n">
        <x:v>46310.375</x:v>
      </x:c>
      <x:c r="C362" s="33" t="n">
        <x:v>24.549</x:v>
      </x:c>
      <x:c r="D362" s="33" t="n">
        <x:v>208.143</x:v>
      </x:c>
      <x:c r="E362" s="33" t="n">
        <x:v>80.412</x:v>
      </x:c>
      <x:c r="F362" s="31" t="str"/>
      <x:c r="G362" s="31" t="str">
        <x:f>IF(C362="","NO DATA",IF(C362&gt;=30,"ALERT","NORMAL"))</x:f>
        <x:v>NORMAL</x:v>
      </x:c>
      <x:c r="H362" s="31" t="str">
        <x:f>IF(C362="","MISSING",IF(C362&gt;=30,"HIGH TEMP","OK"))</x:f>
        <x:v>OK</x:v>
      </x:c>
      <x:c r="I362" s="31" t="str">
        <x:f>IF(E362="","NO DATA",IF(E362&lt;20,"LOW FLOW","OK"))</x:f>
        <x:v>OK</x:v>
      </x:c>
      <x:c r="J362" s="31" t="str">
        <x:f>IF(OR(C362="",D362="",E362=""),"MISSING",IF(OR(C362&lt;0,C362&gt;60,D362&lt;50,D362&gt;400,E362&lt;0,E362&gt;200),"REVIEW","OK"))</x:f>
        <x:v>OK</x:v>
      </x:c>
    </x:row>
    <x:row r="363">
      <x:c r="A363" s="31" t="n">
        <x:v>362</x:v>
      </x:c>
      <x:c r="B363" s="32" t="n">
        <x:v>46310.37511574074</x:v>
      </x:c>
      <x:c r="C363" s="33" t="n">
        <x:v>24.433</x:v>
      </x:c>
      <x:c r="D363" s="33" t="n">
        <x:v>207.048</x:v>
      </x:c>
      <x:c r="E363" s="33" t="n">
        <x:v>79.375</x:v>
      </x:c>
      <x:c r="F363" s="31" t="str"/>
      <x:c r="G363" s="31" t="str">
        <x:f>IF(C363="","NO DATA",IF(C363&gt;=30,"ALERT","NORMAL"))</x:f>
        <x:v>NORMAL</x:v>
      </x:c>
      <x:c r="H363" s="31" t="str">
        <x:f>IF(C363="","MISSING",IF(C363&gt;=30,"HIGH TEMP","OK"))</x:f>
        <x:v>OK</x:v>
      </x:c>
      <x:c r="I363" s="31" t="str">
        <x:f>IF(E363="","NO DATA",IF(E363&lt;20,"LOW FLOW","OK"))</x:f>
        <x:v>OK</x:v>
      </x:c>
      <x:c r="J363" s="31" t="str">
        <x:f>IF(OR(C363="",D363="",E363=""),"MISSING",IF(OR(C363&lt;0,C363&gt;60,D363&lt;50,D363&gt;400,E363&lt;0,E363&gt;200),"REVIEW","OK"))</x:f>
        <x:v>OK</x:v>
      </x:c>
    </x:row>
    <x:row r="364">
      <x:c r="A364" s="31" t="n">
        <x:v>363</x:v>
      </x:c>
      <x:c r="B364" s="32" t="n">
        <x:v>46310.375231481485</x:v>
      </x:c>
      <x:c r="C364" s="33" t="n">
        <x:v>24.518</x:v>
      </x:c>
      <x:c r="D364" s="33" t="n">
        <x:v>206.067</x:v>
      </x:c>
      <x:c r="E364" s="33" t="n">
        <x:v>79.022</x:v>
      </x:c>
      <x:c r="F364" s="31" t="str"/>
      <x:c r="G364" s="31" t="str">
        <x:f>IF(C364="","NO DATA",IF(C364&gt;=30,"ALERT","NORMAL"))</x:f>
        <x:v>NORMAL</x:v>
      </x:c>
      <x:c r="H364" s="31" t="str">
        <x:f>IF(C364="","MISSING",IF(C364&gt;=30,"HIGH TEMP","OK"))</x:f>
        <x:v>OK</x:v>
      </x:c>
      <x:c r="I364" s="31" t="str">
        <x:f>IF(E364="","NO DATA",IF(E364&lt;20,"LOW FLOW","OK"))</x:f>
        <x:v>OK</x:v>
      </x:c>
      <x:c r="J364" s="31" t="str">
        <x:f>IF(OR(C364="",D364="",E364=""),"MISSING",IF(OR(C364&lt;0,C364&gt;60,D364&lt;50,D364&gt;400,E364&lt;0,E364&gt;200),"REVIEW","OK"))</x:f>
        <x:v>OK</x:v>
      </x:c>
    </x:row>
    <x:row r="365">
      <x:c r="A365" s="31" t="n">
        <x:v>364</x:v>
      </x:c>
      <x:c r="B365" s="32" t="n">
        <x:v>46310.37534722222</x:v>
      </x:c>
      <x:c r="C365" s="33" t="n">
        <x:v>24.567</x:v>
      </x:c>
      <x:c r="D365" s="33" t="n">
        <x:v>206.58</x:v>
      </x:c>
      <x:c r="E365" s="33" t="n">
        <x:v>80.495</x:v>
      </x:c>
      <x:c r="F365" s="31" t="str"/>
      <x:c r="G365" s="31" t="str">
        <x:f>IF(C365="","NO DATA",IF(C365&gt;=30,"ALERT","NORMAL"))</x:f>
        <x:v>NORMAL</x:v>
      </x:c>
      <x:c r="H365" s="31" t="str">
        <x:f>IF(C365="","MISSING",IF(C365&gt;=30,"HIGH TEMP","OK"))</x:f>
        <x:v>OK</x:v>
      </x:c>
      <x:c r="I365" s="31" t="str">
        <x:f>IF(E365="","NO DATA",IF(E365&lt;20,"LOW FLOW","OK"))</x:f>
        <x:v>OK</x:v>
      </x:c>
      <x:c r="J365" s="31" t="str">
        <x:f>IF(OR(C365="",D365="",E365=""),"MISSING",IF(OR(C365&lt;0,C365&gt;60,D365&lt;50,D365&gt;400,E365&lt;0,E365&gt;200),"REVIEW","OK"))</x:f>
        <x:v>OK</x:v>
      </x:c>
    </x:row>
    <x:row r="366">
      <x:c r="A366" s="31" t="n">
        <x:v>365</x:v>
      </x:c>
      <x:c r="B366" s="32" t="n">
        <x:v>46310.37546296296</x:v>
      </x:c>
      <x:c r="C366" s="33" t="n">
        <x:v>24.478</x:v>
      </x:c>
      <x:c r="D366" s="33" t="n">
        <x:v>207.985</x:v>
      </x:c>
      <x:c r="E366" s="33" t="n">
        <x:v>80.599</x:v>
      </x:c>
      <x:c r="F366" s="31" t="str"/>
      <x:c r="G366" s="31" t="str">
        <x:f>IF(C366="","NO DATA",IF(C366&gt;=30,"ALERT","NORMAL"))</x:f>
        <x:v>NORMAL</x:v>
      </x:c>
      <x:c r="H366" s="31" t="str">
        <x:f>IF(C366="","MISSING",IF(C366&gt;=30,"HIGH TEMP","OK"))</x:f>
        <x:v>OK</x:v>
      </x:c>
      <x:c r="I366" s="31" t="str">
        <x:f>IF(E366="","NO DATA",IF(E366&lt;20,"LOW FLOW","OK"))</x:f>
        <x:v>OK</x:v>
      </x:c>
      <x:c r="J366" s="31" t="str">
        <x:f>IF(OR(C366="",D366="",E366=""),"MISSING",IF(OR(C366&lt;0,C366&gt;60,D366&lt;50,D366&gt;400,E366&lt;0,E366&gt;200),"REVIEW","OK"))</x:f>
        <x:v>OK</x:v>
      </x:c>
    </x:row>
    <x:row r="367">
      <x:c r="A367" s="31" t="n">
        <x:v>366</x:v>
      </x:c>
      <x:c r="B367" s="32" t="n">
        <x:v>46310.3755787037</x:v>
      </x:c>
      <x:c r="C367" s="33" t="n">
        <x:v>24.59</x:v>
      </x:c>
      <x:c r="D367" s="33" t="n">
        <x:v>208.108</x:v>
      </x:c>
      <x:c r="E367" s="33" t="n">
        <x:v>79.955</x:v>
      </x:c>
      <x:c r="F367" s="31" t="str"/>
      <x:c r="G367" s="31" t="str">
        <x:f>IF(C367="","NO DATA",IF(C367&gt;=30,"ALERT","NORMAL"))</x:f>
        <x:v>NORMAL</x:v>
      </x:c>
      <x:c r="H367" s="31" t="str">
        <x:f>IF(C367="","MISSING",IF(C367&gt;=30,"HIGH TEMP","OK"))</x:f>
        <x:v>OK</x:v>
      </x:c>
      <x:c r="I367" s="31" t="str">
        <x:f>IF(E367="","NO DATA",IF(E367&lt;20,"LOW FLOW","OK"))</x:f>
        <x:v>OK</x:v>
      </x:c>
      <x:c r="J367" s="31" t="str">
        <x:f>IF(OR(C367="",D367="",E367=""),"MISSING",IF(OR(C367&lt;0,C367&gt;60,D367&lt;50,D367&gt;400,E367&lt;0,E367&gt;200),"REVIEW","OK"))</x:f>
        <x:v>OK</x:v>
      </x:c>
    </x:row>
    <x:row r="368">
      <x:c r="A368" s="31" t="n">
        <x:v>367</x:v>
      </x:c>
      <x:c r="B368" s="32" t="n">
        <x:v>46310.37569444445</x:v>
      </x:c>
      <x:c r="C368" s="33" t="n">
        <x:v>24.481</x:v>
      </x:c>
      <x:c r="D368" s="33" t="n">
        <x:v>205.823</x:v>
      </x:c>
      <x:c r="E368" s="33" t="n">
        <x:v>80.628</x:v>
      </x:c>
      <x:c r="F368" s="31" t="str"/>
      <x:c r="G368" s="31" t="str">
        <x:f>IF(C368="","NO DATA",IF(C368&gt;=30,"ALERT","NORMAL"))</x:f>
        <x:v>NORMAL</x:v>
      </x:c>
      <x:c r="H368" s="31" t="str">
        <x:f>IF(C368="","MISSING",IF(C368&gt;=30,"HIGH TEMP","OK"))</x:f>
        <x:v>OK</x:v>
      </x:c>
      <x:c r="I368" s="31" t="str">
        <x:f>IF(E368="","NO DATA",IF(E368&lt;20,"LOW FLOW","OK"))</x:f>
        <x:v>OK</x:v>
      </x:c>
      <x:c r="J368" s="31" t="str">
        <x:f>IF(OR(C368="",D368="",E368=""),"MISSING",IF(OR(C368&lt;0,C368&gt;60,D368&lt;50,D368&gt;400,E368&lt;0,E368&gt;200),"REVIEW","OK"))</x:f>
        <x:v>OK</x:v>
      </x:c>
    </x:row>
    <x:row r="369">
      <x:c r="A369" s="31" t="n">
        <x:v>368</x:v>
      </x:c>
      <x:c r="B369" s="32" t="n">
        <x:v>46310.375810185185</x:v>
      </x:c>
      <x:c r="C369" s="33" t="n">
        <x:v>24.527</x:v>
      </x:c>
      <x:c r="D369" s="33" t="n">
        <x:v>206.642</x:v>
      </x:c>
      <x:c r="E369" s="33" t="n">
        <x:v>78.752</x:v>
      </x:c>
      <x:c r="F369" s="31" t="str"/>
      <x:c r="G369" s="31" t="str">
        <x:f>IF(C369="","NO DATA",IF(C369&gt;=30,"ALERT","NORMAL"))</x:f>
        <x:v>NORMAL</x:v>
      </x:c>
      <x:c r="H369" s="31" t="str">
        <x:f>IF(C369="","MISSING",IF(C369&gt;=30,"HIGH TEMP","OK"))</x:f>
        <x:v>OK</x:v>
      </x:c>
      <x:c r="I369" s="31" t="str">
        <x:f>IF(E369="","NO DATA",IF(E369&lt;20,"LOW FLOW","OK"))</x:f>
        <x:v>OK</x:v>
      </x:c>
      <x:c r="J369" s="31" t="str">
        <x:f>IF(OR(C369="",D369="",E369=""),"MISSING",IF(OR(C369&lt;0,C369&gt;60,D369&lt;50,D369&gt;400,E369&lt;0,E369&gt;200),"REVIEW","OK"))</x:f>
        <x:v>OK</x:v>
      </x:c>
    </x:row>
    <x:row r="370">
      <x:c r="A370" s="31" t="n">
        <x:v>369</x:v>
      </x:c>
      <x:c r="B370" s="32" t="n">
        <x:v>46310.375925925924</x:v>
      </x:c>
      <x:c r="C370" s="33" t="n">
        <x:v>24.478</x:v>
      </x:c>
      <x:c r="D370" s="33" t="n">
        <x:v>206.864</x:v>
      </x:c>
      <x:c r="E370" s="33" t="n">
        <x:v>79.06</x:v>
      </x:c>
      <x:c r="F370" s="31" t="str"/>
      <x:c r="G370" s="31" t="str">
        <x:f>IF(C370="","NO DATA",IF(C370&gt;=30,"ALERT","NORMAL"))</x:f>
        <x:v>NORMAL</x:v>
      </x:c>
      <x:c r="H370" s="31" t="str">
        <x:f>IF(C370="","MISSING",IF(C370&gt;=30,"HIGH TEMP","OK"))</x:f>
        <x:v>OK</x:v>
      </x:c>
      <x:c r="I370" s="31" t="str">
        <x:f>IF(E370="","NO DATA",IF(E370&lt;20,"LOW FLOW","OK"))</x:f>
        <x:v>OK</x:v>
      </x:c>
      <x:c r="J370" s="31" t="str">
        <x:f>IF(OR(C370="",D370="",E370=""),"MISSING",IF(OR(C370&lt;0,C370&gt;60,D370&lt;50,D370&gt;400,E370&lt;0,E370&gt;200),"REVIEW","OK"))</x:f>
        <x:v>OK</x:v>
      </x:c>
    </x:row>
    <x:row r="371">
      <x:c r="A371" s="31" t="n">
        <x:v>370</x:v>
      </x:c>
      <x:c r="B371" s="32" t="n">
        <x:v>46310.37604166667</x:v>
      </x:c>
      <x:c r="C371" s="33" t="n">
        <x:v>24.258</x:v>
      </x:c>
      <x:c r="D371" s="33" t="n">
        <x:v>208.647</x:v>
      </x:c>
      <x:c r="E371" s="33" t="n">
        <x:v>79.535</x:v>
      </x:c>
      <x:c r="F371" s="31" t="str"/>
      <x:c r="G371" s="31" t="str">
        <x:f>IF(C371="","NO DATA",IF(C371&gt;=30,"ALERT","NORMAL"))</x:f>
        <x:v>NORMAL</x:v>
      </x:c>
      <x:c r="H371" s="31" t="str">
        <x:f>IF(C371="","MISSING",IF(C371&gt;=30,"HIGH TEMP","OK"))</x:f>
        <x:v>OK</x:v>
      </x:c>
      <x:c r="I371" s="31" t="str">
        <x:f>IF(E371="","NO DATA",IF(E371&lt;20,"LOW FLOW","OK"))</x:f>
        <x:v>OK</x:v>
      </x:c>
      <x:c r="J371" s="31" t="str">
        <x:f>IF(OR(C371="",D371="",E371=""),"MISSING",IF(OR(C371&lt;0,C371&gt;60,D371&lt;50,D371&gt;400,E371&lt;0,E371&gt;200),"REVIEW","OK"))</x:f>
        <x:v>OK</x:v>
      </x:c>
    </x:row>
    <x:row r="372">
      <x:c r="A372" s="31" t="n">
        <x:v>371</x:v>
      </x:c>
      <x:c r="B372" s="32" t="n">
        <x:v>46310.37615740741</x:v>
      </x:c>
      <x:c r="C372" s="33" t="n">
        <x:v>24.364</x:v>
      </x:c>
      <x:c r="D372" s="33" t="n">
        <x:v>206.566</x:v>
      </x:c>
      <x:c r="E372" s="33" t="n">
        <x:v>79.632</x:v>
      </x:c>
      <x:c r="F372" s="31" t="str"/>
      <x:c r="G372" s="31" t="str">
        <x:f>IF(C372="","NO DATA",IF(C372&gt;=30,"ALERT","NORMAL"))</x:f>
        <x:v>NORMAL</x:v>
      </x:c>
      <x:c r="H372" s="31" t="str">
        <x:f>IF(C372="","MISSING",IF(C372&gt;=30,"HIGH TEMP","OK"))</x:f>
        <x:v>OK</x:v>
      </x:c>
      <x:c r="I372" s="31" t="str">
        <x:f>IF(E372="","NO DATA",IF(E372&lt;20,"LOW FLOW","OK"))</x:f>
        <x:v>OK</x:v>
      </x:c>
      <x:c r="J372" s="31" t="str">
        <x:f>IF(OR(C372="",D372="",E372=""),"MISSING",IF(OR(C372&lt;0,C372&gt;60,D372&lt;50,D372&gt;400,E372&lt;0,E372&gt;200),"REVIEW","OK"))</x:f>
        <x:v>OK</x:v>
      </x:c>
    </x:row>
    <x:row r="373">
      <x:c r="A373" s="31" t="n">
        <x:v>372</x:v>
      </x:c>
      <x:c r="B373" s="32" t="n">
        <x:v>46310.37627314815</x:v>
      </x:c>
      <x:c r="C373" s="33" t="n">
        <x:v>24.241</x:v>
      </x:c>
      <x:c r="D373" s="33" t="n">
        <x:v>208.484</x:v>
      </x:c>
      <x:c r="E373" s="33" t="n">
        <x:v>78.571</x:v>
      </x:c>
      <x:c r="F373" s="31" t="str"/>
      <x:c r="G373" s="31" t="str">
        <x:f>IF(C373="","NO DATA",IF(C373&gt;=30,"ALERT","NORMAL"))</x:f>
        <x:v>NORMAL</x:v>
      </x:c>
      <x:c r="H373" s="31" t="str">
        <x:f>IF(C373="","MISSING",IF(C373&gt;=30,"HIGH TEMP","OK"))</x:f>
        <x:v>OK</x:v>
      </x:c>
      <x:c r="I373" s="31" t="str">
        <x:f>IF(E373="","NO DATA",IF(E373&lt;20,"LOW FLOW","OK"))</x:f>
        <x:v>OK</x:v>
      </x:c>
      <x:c r="J373" s="31" t="str">
        <x:f>IF(OR(C373="",D373="",E373=""),"MISSING",IF(OR(C373&lt;0,C373&gt;60,D373&lt;50,D373&gt;400,E373&lt;0,E373&gt;200),"REVIEW","OK"))</x:f>
        <x:v>OK</x:v>
      </x:c>
    </x:row>
    <x:row r="374">
      <x:c r="A374" s="31" t="n">
        <x:v>373</x:v>
      </x:c>
      <x:c r="B374" s="32" t="n">
        <x:v>46310.376388888886</x:v>
      </x:c>
      <x:c r="C374" s="33" t="n">
        <x:v>24.344</x:v>
      </x:c>
      <x:c r="D374" s="33" t="n">
        <x:v>207.376</x:v>
      </x:c>
      <x:c r="E374" s="33" t="n">
        <x:v>78.891</x:v>
      </x:c>
      <x:c r="F374" s="31" t="str"/>
      <x:c r="G374" s="31" t="str">
        <x:f>IF(C374="","NO DATA",IF(C374&gt;=30,"ALERT","NORMAL"))</x:f>
        <x:v>NORMAL</x:v>
      </x:c>
      <x:c r="H374" s="31" t="str">
        <x:f>IF(C374="","MISSING",IF(C374&gt;=30,"HIGH TEMP","OK"))</x:f>
        <x:v>OK</x:v>
      </x:c>
      <x:c r="I374" s="31" t="str">
        <x:f>IF(E374="","NO DATA",IF(E374&lt;20,"LOW FLOW","OK"))</x:f>
        <x:v>OK</x:v>
      </x:c>
      <x:c r="J374" s="31" t="str">
        <x:f>IF(OR(C374="",D374="",E374=""),"MISSING",IF(OR(C374&lt;0,C374&gt;60,D374&lt;50,D374&gt;400,E374&lt;0,E374&gt;200),"REVIEW","OK"))</x:f>
        <x:v>OK</x:v>
      </x:c>
    </x:row>
    <x:row r="375">
      <x:c r="A375" s="31" t="n">
        <x:v>374</x:v>
      </x:c>
      <x:c r="B375" s="32" t="n">
        <x:v>46310.37650462963</x:v>
      </x:c>
      <x:c r="C375" s="33" t="n">
        <x:v>24.421</x:v>
      </x:c>
      <x:c r="D375" s="33" t="n">
        <x:v>208.794</x:v>
      </x:c>
      <x:c r="E375" s="33" t="n">
        <x:v>79.319</x:v>
      </x:c>
      <x:c r="F375" s="31" t="str"/>
      <x:c r="G375" s="31" t="str">
        <x:f>IF(C375="","NO DATA",IF(C375&gt;=30,"ALERT","NORMAL"))</x:f>
        <x:v>NORMAL</x:v>
      </x:c>
      <x:c r="H375" s="31" t="str">
        <x:f>IF(C375="","MISSING",IF(C375&gt;=30,"HIGH TEMP","OK"))</x:f>
        <x:v>OK</x:v>
      </x:c>
      <x:c r="I375" s="31" t="str">
        <x:f>IF(E375="","NO DATA",IF(E375&lt;20,"LOW FLOW","OK"))</x:f>
        <x:v>OK</x:v>
      </x:c>
      <x:c r="J375" s="31" t="str">
        <x:f>IF(OR(C375="",D375="",E375=""),"MISSING",IF(OR(C375&lt;0,C375&gt;60,D375&lt;50,D375&gt;400,E375&lt;0,E375&gt;200),"REVIEW","OK"))</x:f>
        <x:v>OK</x:v>
      </x:c>
    </x:row>
    <x:row r="376">
      <x:c r="A376" s="31" t="n">
        <x:v>375</x:v>
      </x:c>
      <x:c r="B376" s="32" t="n">
        <x:v>46310.37662037037</x:v>
      </x:c>
      <x:c r="C376" s="33" t="n">
        <x:v>24.216</x:v>
      </x:c>
      <x:c r="D376" s="33" t="n">
        <x:v>206.734</x:v>
      </x:c>
      <x:c r="E376" s="33" t="n">
        <x:v>78.294</x:v>
      </x:c>
      <x:c r="F376" s="31" t="str"/>
      <x:c r="G376" s="31" t="str">
        <x:f>IF(C376="","NO DATA",IF(C376&gt;=30,"ALERT","NORMAL"))</x:f>
        <x:v>NORMAL</x:v>
      </x:c>
      <x:c r="H376" s="31" t="str">
        <x:f>IF(C376="","MISSING",IF(C376&gt;=30,"HIGH TEMP","OK"))</x:f>
        <x:v>OK</x:v>
      </x:c>
      <x:c r="I376" s="31" t="str">
        <x:f>IF(E376="","NO DATA",IF(E376&lt;20,"LOW FLOW","OK"))</x:f>
        <x:v>OK</x:v>
      </x:c>
      <x:c r="J376" s="31" t="str">
        <x:f>IF(OR(C376="",D376="",E376=""),"MISSING",IF(OR(C376&lt;0,C376&gt;60,D376&lt;50,D376&gt;400,E376&lt;0,E376&gt;200),"REVIEW","OK"))</x:f>
        <x:v>OK</x:v>
      </x:c>
    </x:row>
    <x:row r="377">
      <x:c r="A377" s="31" t="n">
        <x:v>376</x:v>
      </x:c>
      <x:c r="B377" s="32" t="n">
        <x:v>46310.37673611111</x:v>
      </x:c>
      <x:c r="C377" s="33" t="n">
        <x:v>24.36</x:v>
      </x:c>
      <x:c r="D377" s="33" t="n">
        <x:v>208.712</x:v>
      </x:c>
      <x:c r="E377" s="33" t="n">
        <x:v>78.534</x:v>
      </x:c>
      <x:c r="F377" s="31" t="str"/>
      <x:c r="G377" s="31" t="str">
        <x:f>IF(C377="","NO DATA",IF(C377&gt;=30,"ALERT","NORMAL"))</x:f>
        <x:v>NORMAL</x:v>
      </x:c>
      <x:c r="H377" s="31" t="str">
        <x:f>IF(C377="","MISSING",IF(C377&gt;=30,"HIGH TEMP","OK"))</x:f>
        <x:v>OK</x:v>
      </x:c>
      <x:c r="I377" s="31" t="str">
        <x:f>IF(E377="","NO DATA",IF(E377&lt;20,"LOW FLOW","OK"))</x:f>
        <x:v>OK</x:v>
      </x:c>
      <x:c r="J377" s="31" t="str">
        <x:f>IF(OR(C377="",D377="",E377=""),"MISSING",IF(OR(C377&lt;0,C377&gt;60,D377&lt;50,D377&gt;400,E377&lt;0,E377&gt;200),"REVIEW","OK"))</x:f>
        <x:v>OK</x:v>
      </x:c>
    </x:row>
    <x:row r="378">
      <x:c r="A378" s="31" t="n">
        <x:v>377</x:v>
      </x:c>
      <x:c r="B378" s="32" t="n">
        <x:v>46310.376851851855</x:v>
      </x:c>
      <x:c r="C378" s="33" t="n">
        <x:v>24.358</x:v>
      </x:c>
      <x:c r="D378" s="33" t="n">
        <x:v>208.263</x:v>
      </x:c>
      <x:c r="E378" s="33" t="n">
        <x:v>78.914</x:v>
      </x:c>
      <x:c r="F378" s="31" t="str"/>
      <x:c r="G378" s="31" t="str">
        <x:f>IF(C378="","NO DATA",IF(C378&gt;=30,"ALERT","NORMAL"))</x:f>
        <x:v>NORMAL</x:v>
      </x:c>
      <x:c r="H378" s="31" t="str">
        <x:f>IF(C378="","MISSING",IF(C378&gt;=30,"HIGH TEMP","OK"))</x:f>
        <x:v>OK</x:v>
      </x:c>
      <x:c r="I378" s="31" t="str">
        <x:f>IF(E378="","NO DATA",IF(E378&lt;20,"LOW FLOW","OK"))</x:f>
        <x:v>OK</x:v>
      </x:c>
      <x:c r="J378" s="31" t="str">
        <x:f>IF(OR(C378="",D378="",E378=""),"MISSING",IF(OR(C378&lt;0,C378&gt;60,D378&lt;50,D378&gt;400,E378&lt;0,E378&gt;200),"REVIEW","OK"))</x:f>
        <x:v>OK</x:v>
      </x:c>
    </x:row>
    <x:row r="379">
      <x:c r="A379" s="31" t="n">
        <x:v>378</x:v>
      </x:c>
      <x:c r="B379" s="32" t="n">
        <x:v>46310.376967592594</x:v>
      </x:c>
      <x:c r="C379" s="33" t="n">
        <x:v>24.226</x:v>
      </x:c>
      <x:c r="D379" s="33" t="n">
        <x:v>209.188</x:v>
      </x:c>
      <x:c r="E379" s="33" t="n">
        <x:v>78.104</x:v>
      </x:c>
      <x:c r="F379" s="31" t="str"/>
      <x:c r="G379" s="31" t="str">
        <x:f>IF(C379="","NO DATA",IF(C379&gt;=30,"ALERT","NORMAL"))</x:f>
        <x:v>NORMAL</x:v>
      </x:c>
      <x:c r="H379" s="31" t="str">
        <x:f>IF(C379="","MISSING",IF(C379&gt;=30,"HIGH TEMP","OK"))</x:f>
        <x:v>OK</x:v>
      </x:c>
      <x:c r="I379" s="31" t="str">
        <x:f>IF(E379="","NO DATA",IF(E379&lt;20,"LOW FLOW","OK"))</x:f>
        <x:v>OK</x:v>
      </x:c>
      <x:c r="J379" s="31" t="str">
        <x:f>IF(OR(C379="",D379="",E379=""),"MISSING",IF(OR(C379&lt;0,C379&gt;60,D379&lt;50,D379&gt;400,E379&lt;0,E379&gt;200),"REVIEW","OK"))</x:f>
        <x:v>OK</x:v>
      </x:c>
    </x:row>
    <x:row r="380">
      <x:c r="A380" s="31" t="n">
        <x:v>379</x:v>
      </x:c>
      <x:c r="B380" s="32" t="n">
        <x:v>46310.37708333333</x:v>
      </x:c>
      <x:c r="C380" s="33" t="n">
        <x:v>24.256</x:v>
      </x:c>
      <x:c r="D380" s="33" t="n">
        <x:v>207.893</x:v>
      </x:c>
      <x:c r="E380" s="33" t="n">
        <x:v>79.442</x:v>
      </x:c>
      <x:c r="F380" s="31" t="str"/>
      <x:c r="G380" s="31" t="str">
        <x:f>IF(C380="","NO DATA",IF(C380&gt;=30,"ALERT","NORMAL"))</x:f>
        <x:v>NORMAL</x:v>
      </x:c>
      <x:c r="H380" s="31" t="str">
        <x:f>IF(C380="","MISSING",IF(C380&gt;=30,"HIGH TEMP","OK"))</x:f>
        <x:v>OK</x:v>
      </x:c>
      <x:c r="I380" s="31" t="str">
        <x:f>IF(E380="","NO DATA",IF(E380&lt;20,"LOW FLOW","OK"))</x:f>
        <x:v>OK</x:v>
      </x:c>
      <x:c r="J380" s="31" t="str">
        <x:f>IF(OR(C380="",D380="",E380=""),"MISSING",IF(OR(C380&lt;0,C380&gt;60,D380&lt;50,D380&gt;400,E380&lt;0,E380&gt;200),"REVIEW","OK"))</x:f>
        <x:v>OK</x:v>
      </x:c>
    </x:row>
    <x:row r="381">
      <x:c r="A381" s="31" t="n">
        <x:v>380</x:v>
      </x:c>
      <x:c r="B381" s="32" t="n">
        <x:v>46310.37719907407</x:v>
      </x:c>
      <x:c r="C381" s="33" t="n">
        <x:v>24.256</x:v>
      </x:c>
      <x:c r="D381" s="33" t="n">
        <x:v>209.165</x:v>
      </x:c>
      <x:c r="E381" s="33" t="n">
        <x:v>77.913</x:v>
      </x:c>
      <x:c r="F381" s="31" t="str"/>
      <x:c r="G381" s="31" t="str">
        <x:f>IF(C381="","NO DATA",IF(C381&gt;=30,"ALERT","NORMAL"))</x:f>
        <x:v>NORMAL</x:v>
      </x:c>
      <x:c r="H381" s="31" t="str">
        <x:f>IF(C381="","MISSING",IF(C381&gt;=30,"HIGH TEMP","OK"))</x:f>
        <x:v>OK</x:v>
      </x:c>
      <x:c r="I381" s="31" t="str">
        <x:f>IF(E381="","NO DATA",IF(E381&lt;20,"LOW FLOW","OK"))</x:f>
        <x:v>OK</x:v>
      </x:c>
      <x:c r="J381" s="31" t="str">
        <x:f>IF(OR(C381="",D381="",E381=""),"MISSING",IF(OR(C381&lt;0,C381&gt;60,D381&lt;50,D381&gt;400,E381&lt;0,E381&gt;200),"REVIEW","OK"))</x:f>
        <x:v>OK</x:v>
      </x:c>
    </x:row>
    <x:row r="382">
      <x:c r="A382" s="31" t="n">
        <x:v>381</x:v>
      </x:c>
      <x:c r="B382" s="32" t="n">
        <x:v>46310.37731481482</x:v>
      </x:c>
      <x:c r="C382" s="33" t="n">
        <x:v>24.212</x:v>
      </x:c>
      <x:c r="D382" s="33" t="n">
        <x:v>209.084</x:v>
      </x:c>
      <x:c r="E382" s="33" t="n">
        <x:v>77.819</x:v>
      </x:c>
      <x:c r="F382" s="31" t="str"/>
      <x:c r="G382" s="31" t="str">
        <x:f>IF(C382="","NO DATA",IF(C382&gt;=30,"ALERT","NORMAL"))</x:f>
        <x:v>NORMAL</x:v>
      </x:c>
      <x:c r="H382" s="31" t="str">
        <x:f>IF(C382="","MISSING",IF(C382&gt;=30,"HIGH TEMP","OK"))</x:f>
        <x:v>OK</x:v>
      </x:c>
      <x:c r="I382" s="31" t="str">
        <x:f>IF(E382="","NO DATA",IF(E382&lt;20,"LOW FLOW","OK"))</x:f>
        <x:v>OK</x:v>
      </x:c>
      <x:c r="J382" s="31" t="str">
        <x:f>IF(OR(C382="",D382="",E382=""),"MISSING",IF(OR(C382&lt;0,C382&gt;60,D382&lt;50,D382&gt;400,E382&lt;0,E382&gt;200),"REVIEW","OK"))</x:f>
        <x:v>OK</x:v>
      </x:c>
    </x:row>
    <x:row r="383">
      <x:c r="A383" s="31" t="n">
        <x:v>382</x:v>
      </x:c>
      <x:c r="B383" s="32" t="n">
        <x:v>46310.377430555556</x:v>
      </x:c>
      <x:c r="C383" s="33" t="n">
        <x:v>24.166</x:v>
      </x:c>
      <x:c r="D383" s="33" t="n">
        <x:v>208.043</x:v>
      </x:c>
      <x:c r="E383" s="33" t="n">
        <x:v>78.132</x:v>
      </x:c>
      <x:c r="F383" s="31" t="str"/>
      <x:c r="G383" s="31" t="str">
        <x:f>IF(C383="","NO DATA",IF(C383&gt;=30,"ALERT","NORMAL"))</x:f>
        <x:v>NORMAL</x:v>
      </x:c>
      <x:c r="H383" s="31" t="str">
        <x:f>IF(C383="","MISSING",IF(C383&gt;=30,"HIGH TEMP","OK"))</x:f>
        <x:v>OK</x:v>
      </x:c>
      <x:c r="I383" s="31" t="str">
        <x:f>IF(E383="","NO DATA",IF(E383&lt;20,"LOW FLOW","OK"))</x:f>
        <x:v>OK</x:v>
      </x:c>
      <x:c r="J383" s="31" t="str">
        <x:f>IF(OR(C383="",D383="",E383=""),"MISSING",IF(OR(C383&lt;0,C383&gt;60,D383&lt;50,D383&gt;400,E383&lt;0,E383&gt;200),"REVIEW","OK"))</x:f>
        <x:v>OK</x:v>
      </x:c>
    </x:row>
    <x:row r="384">
      <x:c r="A384" s="31" t="n">
        <x:v>383</x:v>
      </x:c>
      <x:c r="B384" s="32" t="n">
        <x:v>46310.377546296295</x:v>
      </x:c>
      <x:c r="C384" s="33" t="n">
        <x:v>24.134</x:v>
      </x:c>
      <x:c r="D384" s="33" t="n">
        <x:v>208.519</x:v>
      </x:c>
      <x:c r="E384" s="33" t="n">
        <x:v>77.829</x:v>
      </x:c>
      <x:c r="F384" s="31" t="str"/>
      <x:c r="G384" s="31" t="str">
        <x:f>IF(C384="","NO DATA",IF(C384&gt;=30,"ALERT","NORMAL"))</x:f>
        <x:v>NORMAL</x:v>
      </x:c>
      <x:c r="H384" s="31" t="str">
        <x:f>IF(C384="","MISSING",IF(C384&gt;=30,"HIGH TEMP","OK"))</x:f>
        <x:v>OK</x:v>
      </x:c>
      <x:c r="I384" s="31" t="str">
        <x:f>IF(E384="","NO DATA",IF(E384&lt;20,"LOW FLOW","OK"))</x:f>
        <x:v>OK</x:v>
      </x:c>
      <x:c r="J384" s="31" t="str">
        <x:f>IF(OR(C384="",D384="",E384=""),"MISSING",IF(OR(C384&lt;0,C384&gt;60,D384&lt;50,D384&gt;400,E384&lt;0,E384&gt;200),"REVIEW","OK"))</x:f>
        <x:v>OK</x:v>
      </x:c>
    </x:row>
    <x:row r="385">
      <x:c r="A385" s="31" t="n">
        <x:v>384</x:v>
      </x:c>
      <x:c r="B385" s="32" t="n">
        <x:v>46310.37766203703</x:v>
      </x:c>
      <x:c r="C385" s="33" t="n">
        <x:v>24.263</x:v>
      </x:c>
      <x:c r="D385" s="33" t="n">
        <x:v>208.187</x:v>
      </x:c>
      <x:c r="E385" s="33" t="n">
        <x:v>78.738</x:v>
      </x:c>
      <x:c r="F385" s="31" t="str"/>
      <x:c r="G385" s="31" t="str">
        <x:f>IF(C385="","NO DATA",IF(C385&gt;=30,"ALERT","NORMAL"))</x:f>
        <x:v>NORMAL</x:v>
      </x:c>
      <x:c r="H385" s="31" t="str">
        <x:f>IF(C385="","MISSING",IF(C385&gt;=30,"HIGH TEMP","OK"))</x:f>
        <x:v>OK</x:v>
      </x:c>
      <x:c r="I385" s="31" t="str">
        <x:f>IF(E385="","NO DATA",IF(E385&lt;20,"LOW FLOW","OK"))</x:f>
        <x:v>OK</x:v>
      </x:c>
      <x:c r="J385" s="31" t="str">
        <x:f>IF(OR(C385="",D385="",E385=""),"MISSING",IF(OR(C385&lt;0,C385&gt;60,D385&lt;50,D385&gt;400,E385&lt;0,E385&gt;200),"REVIEW","OK"))</x:f>
        <x:v>OK</x:v>
      </x:c>
    </x:row>
    <x:row r="386">
      <x:c r="A386" s="31" t="n">
        <x:v>385</x:v>
      </x:c>
      <x:c r="B386" s="32" t="n">
        <x:v>46310.37777777778</x:v>
      </x:c>
      <x:c r="C386" s="33" t="n">
        <x:v>24.232</x:v>
      </x:c>
      <x:c r="D386" s="33" t="n">
        <x:v>209.288</x:v>
      </x:c>
      <x:c r="E386" s="33" t="n">
        <x:v>79.846</x:v>
      </x:c>
      <x:c r="F386" s="31" t="str"/>
      <x:c r="G386" s="31" t="str">
        <x:f>IF(C386="","NO DATA",IF(C386&gt;=30,"ALERT","NORMAL"))</x:f>
        <x:v>NORMAL</x:v>
      </x:c>
      <x:c r="H386" s="31" t="str">
        <x:f>IF(C386="","MISSING",IF(C386&gt;=30,"HIGH TEMP","OK"))</x:f>
        <x:v>OK</x:v>
      </x:c>
      <x:c r="I386" s="31" t="str">
        <x:f>IF(E386="","NO DATA",IF(E386&lt;20,"LOW FLOW","OK"))</x:f>
        <x:v>OK</x:v>
      </x:c>
      <x:c r="J386" s="31" t="str">
        <x:f>IF(OR(C386="",D386="",E386=""),"MISSING",IF(OR(C386&lt;0,C386&gt;60,D386&lt;50,D386&gt;400,E386&lt;0,E386&gt;200),"REVIEW","OK"))</x:f>
        <x:v>OK</x:v>
      </x:c>
    </x:row>
    <x:row r="387">
      <x:c r="A387" s="31" t="n">
        <x:v>386</x:v>
      </x:c>
      <x:c r="B387" s="32" t="n">
        <x:v>46310.37789351852</x:v>
      </x:c>
      <x:c r="C387" s="33" t="n">
        <x:v>24.243</x:v>
      </x:c>
      <x:c r="D387" s="33" t="n">
        <x:v>208.13</x:v>
      </x:c>
      <x:c r="E387" s="33" t="n">
        <x:v>79.941</x:v>
      </x:c>
      <x:c r="F387" s="31" t="str"/>
      <x:c r="G387" s="31" t="str">
        <x:f>IF(C387="","NO DATA",IF(C387&gt;=30,"ALERT","NORMAL"))</x:f>
        <x:v>NORMAL</x:v>
      </x:c>
      <x:c r="H387" s="31" t="str">
        <x:f>IF(C387="","MISSING",IF(C387&gt;=30,"HIGH TEMP","OK"))</x:f>
        <x:v>OK</x:v>
      </x:c>
      <x:c r="I387" s="31" t="str">
        <x:f>IF(E387="","NO DATA",IF(E387&lt;20,"LOW FLOW","OK"))</x:f>
        <x:v>OK</x:v>
      </x:c>
      <x:c r="J387" s="31" t="str">
        <x:f>IF(OR(C387="",D387="",E387=""),"MISSING",IF(OR(C387&lt;0,C387&gt;60,D387&lt;50,D387&gt;400,E387&lt;0,E387&gt;200),"REVIEW","OK"))</x:f>
        <x:v>OK</x:v>
      </x:c>
    </x:row>
    <x:row r="388">
      <x:c r="A388" s="31" t="n">
        <x:v>387</x:v>
      </x:c>
      <x:c r="B388" s="32" t="n">
        <x:v>46310.37800925926</x:v>
      </x:c>
      <x:c r="C388" s="33" t="n">
        <x:v>23.995</x:v>
      </x:c>
      <x:c r="D388" s="33" t="n">
        <x:v>208.098</x:v>
      </x:c>
      <x:c r="E388" s="33" t="n">
        <x:v>80.117</x:v>
      </x:c>
      <x:c r="F388" s="31" t="str"/>
      <x:c r="G388" s="31" t="str">
        <x:f>IF(C388="","NO DATA",IF(C388&gt;=30,"ALERT","NORMAL"))</x:f>
        <x:v>NORMAL</x:v>
      </x:c>
      <x:c r="H388" s="31" t="str">
        <x:f>IF(C388="","MISSING",IF(C388&gt;=30,"HIGH TEMP","OK"))</x:f>
        <x:v>OK</x:v>
      </x:c>
      <x:c r="I388" s="31" t="str">
        <x:f>IF(E388="","NO DATA",IF(E388&lt;20,"LOW FLOW","OK"))</x:f>
        <x:v>OK</x:v>
      </x:c>
      <x:c r="J388" s="31" t="str">
        <x:f>IF(OR(C388="",D388="",E388=""),"MISSING",IF(OR(C388&lt;0,C388&gt;60,D388&lt;50,D388&gt;400,E388&lt;0,E388&gt;200),"REVIEW","OK"))</x:f>
        <x:v>OK</x:v>
      </x:c>
    </x:row>
    <x:row r="389">
      <x:c r="A389" s="31" t="n">
        <x:v>388</x:v>
      </x:c>
      <x:c r="B389" s="32" t="n">
        <x:v>46310.378125</x:v>
      </x:c>
      <x:c r="C389" s="33" t="n">
        <x:v>24.222</x:v>
      </x:c>
      <x:c r="D389" s="33" t="n">
        <x:v>209.898</x:v>
      </x:c>
      <x:c r="E389" s="33" t="n">
        <x:v>79.321</x:v>
      </x:c>
      <x:c r="F389" s="31" t="str"/>
      <x:c r="G389" s="31" t="str">
        <x:f>IF(C389="","NO DATA",IF(C389&gt;=30,"ALERT","NORMAL"))</x:f>
        <x:v>NORMAL</x:v>
      </x:c>
      <x:c r="H389" s="31" t="str">
        <x:f>IF(C389="","MISSING",IF(C389&gt;=30,"HIGH TEMP","OK"))</x:f>
        <x:v>OK</x:v>
      </x:c>
      <x:c r="I389" s="31" t="str">
        <x:f>IF(E389="","NO DATA",IF(E389&lt;20,"LOW FLOW","OK"))</x:f>
        <x:v>OK</x:v>
      </x:c>
      <x:c r="J389" s="31" t="str">
        <x:f>IF(OR(C389="",D389="",E389=""),"MISSING",IF(OR(C389&lt;0,C389&gt;60,D389&lt;50,D389&gt;400,E389&lt;0,E389&gt;200),"REVIEW","OK"))</x:f>
        <x:v>OK</x:v>
      </x:c>
    </x:row>
    <x:row r="390">
      <x:c r="A390" s="31" t="n">
        <x:v>389</x:v>
      </x:c>
      <x:c r="B390" s="32" t="n">
        <x:v>46310.37824074074</x:v>
      </x:c>
      <x:c r="C390" s="33" t="n">
        <x:v>24.156</x:v>
      </x:c>
      <x:c r="D390" s="33" t="n">
        <x:v>209.552</x:v>
      </x:c>
      <x:c r="E390" s="33" t="n">
        <x:v>78.266</x:v>
      </x:c>
      <x:c r="F390" s="31" t="str"/>
      <x:c r="G390" s="31" t="str">
        <x:f>IF(C390="","NO DATA",IF(C390&gt;=30,"ALERT","NORMAL"))</x:f>
        <x:v>NORMAL</x:v>
      </x:c>
      <x:c r="H390" s="31" t="str">
        <x:f>IF(C390="","MISSING",IF(C390&gt;=30,"HIGH TEMP","OK"))</x:f>
        <x:v>OK</x:v>
      </x:c>
      <x:c r="I390" s="31" t="str">
        <x:f>IF(E390="","NO DATA",IF(E390&lt;20,"LOW FLOW","OK"))</x:f>
        <x:v>OK</x:v>
      </x:c>
      <x:c r="J390" s="31" t="str">
        <x:f>IF(OR(C390="",D390="",E390=""),"MISSING",IF(OR(C390&lt;0,C390&gt;60,D390&lt;50,D390&gt;400,E390&lt;0,E390&gt;200),"REVIEW","OK"))</x:f>
        <x:v>OK</x:v>
      </x:c>
    </x:row>
    <x:row r="391">
      <x:c r="A391" s="31" t="n">
        <x:v>390</x:v>
      </x:c>
      <x:c r="B391" s="32" t="n">
        <x:v>46310.37835648148</x:v>
      </x:c>
      <x:c r="C391" s="33" t="n">
        <x:v>23.93</x:v>
      </x:c>
      <x:c r="D391" s="33" t="n">
        <x:v>209.402</x:v>
      </x:c>
      <x:c r="E391" s="33" t="n">
        <x:v>79.964</x:v>
      </x:c>
      <x:c r="F391" s="31" t="str"/>
      <x:c r="G391" s="31" t="str">
        <x:f>IF(C391="","NO DATA",IF(C391&gt;=30,"ALERT","NORMAL"))</x:f>
        <x:v>NORMAL</x:v>
      </x:c>
      <x:c r="H391" s="31" t="str">
        <x:f>IF(C391="","MISSING",IF(C391&gt;=30,"HIGH TEMP","OK"))</x:f>
        <x:v>OK</x:v>
      </x:c>
      <x:c r="I391" s="31" t="str">
        <x:f>IF(E391="","NO DATA",IF(E391&lt;20,"LOW FLOW","OK"))</x:f>
        <x:v>OK</x:v>
      </x:c>
      <x:c r="J391" s="31" t="str">
        <x:f>IF(OR(C391="",D391="",E391=""),"MISSING",IF(OR(C391&lt;0,C391&gt;60,D391&lt;50,D391&gt;400,E391&lt;0,E391&gt;200),"REVIEW","OK"))</x:f>
        <x:v>OK</x:v>
      </x:c>
    </x:row>
    <x:row r="392">
      <x:c r="A392" s="31" t="n">
        <x:v>391</x:v>
      </x:c>
      <x:c r="B392" s="32" t="n">
        <x:v>46310.37847222222</x:v>
      </x:c>
      <x:c r="C392" s="33" t="n">
        <x:v>24.089</x:v>
      </x:c>
      <x:c r="D392" s="33" t="n">
        <x:v>211.053</x:v>
      </x:c>
      <x:c r="E392" s="33" t="n">
        <x:v>80.304</x:v>
      </x:c>
      <x:c r="F392" s="31" t="str"/>
      <x:c r="G392" s="31" t="str">
        <x:f>IF(C392="","NO DATA",IF(C392&gt;=30,"ALERT","NORMAL"))</x:f>
        <x:v>NORMAL</x:v>
      </x:c>
      <x:c r="H392" s="31" t="str">
        <x:f>IF(C392="","MISSING",IF(C392&gt;=30,"HIGH TEMP","OK"))</x:f>
        <x:v>OK</x:v>
      </x:c>
      <x:c r="I392" s="31" t="str">
        <x:f>IF(E392="","NO DATA",IF(E392&lt;20,"LOW FLOW","OK"))</x:f>
        <x:v>OK</x:v>
      </x:c>
      <x:c r="J392" s="31" t="str">
        <x:f>IF(OR(C392="",D392="",E392=""),"MISSING",IF(OR(C392&lt;0,C392&gt;60,D392&lt;50,D392&gt;400,E392&lt;0,E392&gt;200),"REVIEW","OK"))</x:f>
        <x:v>OK</x:v>
      </x:c>
    </x:row>
    <x:row r="393">
      <x:c r="A393" s="31" t="n">
        <x:v>392</x:v>
      </x:c>
      <x:c r="B393" s="32" t="n">
        <x:v>46310.378587962965</x:v>
      </x:c>
      <x:c r="C393" s="33" t="n">
        <x:v>23.91</x:v>
      </x:c>
      <x:c r="D393" s="33" t="n">
        <x:v>211.22</x:v>
      </x:c>
      <x:c r="E393" s="33" t="n">
        <x:v>78.743</x:v>
      </x:c>
      <x:c r="F393" s="31" t="str"/>
      <x:c r="G393" s="31" t="str">
        <x:f>IF(C393="","NO DATA",IF(C393&gt;=30,"ALERT","NORMAL"))</x:f>
        <x:v>NORMAL</x:v>
      </x:c>
      <x:c r="H393" s="31" t="str">
        <x:f>IF(C393="","MISSING",IF(C393&gt;=30,"HIGH TEMP","OK"))</x:f>
        <x:v>OK</x:v>
      </x:c>
      <x:c r="I393" s="31" t="str">
        <x:f>IF(E393="","NO DATA",IF(E393&lt;20,"LOW FLOW","OK"))</x:f>
        <x:v>OK</x:v>
      </x:c>
      <x:c r="J393" s="31" t="str">
        <x:f>IF(OR(C393="",D393="",E393=""),"MISSING",IF(OR(C393&lt;0,C393&gt;60,D393&lt;50,D393&gt;400,E393&lt;0,E393&gt;200),"REVIEW","OK"))</x:f>
        <x:v>OK</x:v>
      </x:c>
    </x:row>
    <x:row r="394">
      <x:c r="A394" s="31" t="n">
        <x:v>393</x:v>
      </x:c>
      <x:c r="B394" s="32" t="n">
        <x:v>46310.378703703704</x:v>
      </x:c>
      <x:c r="C394" s="33" t="n">
        <x:v>24.041</x:v>
      </x:c>
      <x:c r="D394" s="33" t="n">
        <x:v>210.387</x:v>
      </x:c>
      <x:c r="E394" s="33" t="n">
        <x:v>79.176</x:v>
      </x:c>
      <x:c r="F394" s="31" t="str"/>
      <x:c r="G394" s="31" t="str">
        <x:f>IF(C394="","NO DATA",IF(C394&gt;=30,"ALERT","NORMAL"))</x:f>
        <x:v>NORMAL</x:v>
      </x:c>
      <x:c r="H394" s="31" t="str">
        <x:f>IF(C394="","MISSING",IF(C394&gt;=30,"HIGH TEMP","OK"))</x:f>
        <x:v>OK</x:v>
      </x:c>
      <x:c r="I394" s="31" t="str">
        <x:f>IF(E394="","NO DATA",IF(E394&lt;20,"LOW FLOW","OK"))</x:f>
        <x:v>OK</x:v>
      </x:c>
      <x:c r="J394" s="31" t="str">
        <x:f>IF(OR(C394="",D394="",E394=""),"MISSING",IF(OR(C394&lt;0,C394&gt;60,D394&lt;50,D394&gt;400,E394&lt;0,E394&gt;200),"REVIEW","OK"))</x:f>
        <x:v>OK</x:v>
      </x:c>
    </x:row>
    <x:row r="395">
      <x:c r="A395" s="31" t="n">
        <x:v>394</x:v>
      </x:c>
      <x:c r="B395" s="32" t="n">
        <x:v>46310.37881944444</x:v>
      </x:c>
      <x:c r="C395" s="33" t="n">
        <x:v>23.937</x:v>
      </x:c>
      <x:c r="D395" s="33" t="n">
        <x:v>209.962</x:v>
      </x:c>
      <x:c r="E395" s="33" t="n">
        <x:v>79.098</x:v>
      </x:c>
      <x:c r="F395" s="31" t="str"/>
      <x:c r="G395" s="31" t="str">
        <x:f>IF(C395="","NO DATA",IF(C395&gt;=30,"ALERT","NORMAL"))</x:f>
        <x:v>NORMAL</x:v>
      </x:c>
      <x:c r="H395" s="31" t="str">
        <x:f>IF(C395="","MISSING",IF(C395&gt;=30,"HIGH TEMP","OK"))</x:f>
        <x:v>OK</x:v>
      </x:c>
      <x:c r="I395" s="31" t="str">
        <x:f>IF(E395="","NO DATA",IF(E395&lt;20,"LOW FLOW","OK"))</x:f>
        <x:v>OK</x:v>
      </x:c>
      <x:c r="J395" s="31" t="str">
        <x:f>IF(OR(C395="",D395="",E395=""),"MISSING",IF(OR(C395&lt;0,C395&gt;60,D395&lt;50,D395&gt;400,E395&lt;0,E395&gt;200),"REVIEW","OK"))</x:f>
        <x:v>OK</x:v>
      </x:c>
    </x:row>
    <x:row r="396">
      <x:c r="A396" s="31" t="n">
        <x:v>395</x:v>
      </x:c>
      <x:c r="B396" s="32" t="n">
        <x:v>46310.37893518519</x:v>
      </x:c>
      <x:c r="C396" s="33" t="n">
        <x:v>23.874</x:v>
      </x:c>
      <x:c r="D396" s="33" t="n">
        <x:v>210.603</x:v>
      </x:c>
      <x:c r="E396" s="33" t="n">
        <x:v>78.65</x:v>
      </x:c>
      <x:c r="F396" s="31" t="str"/>
      <x:c r="G396" s="31" t="str">
        <x:f>IF(C396="","NO DATA",IF(C396&gt;=30,"ALERT","NORMAL"))</x:f>
        <x:v>NORMAL</x:v>
      </x:c>
      <x:c r="H396" s="31" t="str">
        <x:f>IF(C396="","MISSING",IF(C396&gt;=30,"HIGH TEMP","OK"))</x:f>
        <x:v>OK</x:v>
      </x:c>
      <x:c r="I396" s="31" t="str">
        <x:f>IF(E396="","NO DATA",IF(E396&lt;20,"LOW FLOW","OK"))</x:f>
        <x:v>OK</x:v>
      </x:c>
      <x:c r="J396" s="31" t="str">
        <x:f>IF(OR(C396="",D396="",E396=""),"MISSING",IF(OR(C396&lt;0,C396&gt;60,D396&lt;50,D396&gt;400,E396&lt;0,E396&gt;200),"REVIEW","OK"))</x:f>
        <x:v>OK</x:v>
      </x:c>
    </x:row>
    <x:row r="397">
      <x:c r="A397" s="31" t="n">
        <x:v>396</x:v>
      </x:c>
      <x:c r="B397" s="32" t="n">
        <x:v>46310.37905092593</x:v>
      </x:c>
      <x:c r="C397" s="33" t="n">
        <x:v>23.957</x:v>
      </x:c>
      <x:c r="D397" s="33" t="n">
        <x:v>211.916</x:v>
      </x:c>
      <x:c r="E397" s="33" t="n">
        <x:v>79.298</x:v>
      </x:c>
      <x:c r="F397" s="31" t="str"/>
      <x:c r="G397" s="31" t="str">
        <x:f>IF(C397="","NO DATA",IF(C397&gt;=30,"ALERT","NORMAL"))</x:f>
        <x:v>NORMAL</x:v>
      </x:c>
      <x:c r="H397" s="31" t="str">
        <x:f>IF(C397="","MISSING",IF(C397&gt;=30,"HIGH TEMP","OK"))</x:f>
        <x:v>OK</x:v>
      </x:c>
      <x:c r="I397" s="31" t="str">
        <x:f>IF(E397="","NO DATA",IF(E397&lt;20,"LOW FLOW","OK"))</x:f>
        <x:v>OK</x:v>
      </x:c>
      <x:c r="J397" s="31" t="str">
        <x:f>IF(OR(C397="",D397="",E397=""),"MISSING",IF(OR(C397&lt;0,C397&gt;60,D397&lt;50,D397&gt;400,E397&lt;0,E397&gt;200),"REVIEW","OK"))</x:f>
        <x:v>OK</x:v>
      </x:c>
    </x:row>
    <x:row r="398">
      <x:c r="A398" s="31" t="n">
        <x:v>397</x:v>
      </x:c>
      <x:c r="B398" s="32" t="n">
        <x:v>46310.379166666666</x:v>
      </x:c>
      <x:c r="C398" s="33" t="n">
        <x:v>24.002</x:v>
      </x:c>
      <x:c r="D398" s="33" t="n">
        <x:v>211.782</x:v>
      </x:c>
      <x:c r="E398" s="33" t="n">
        <x:v>80.503</x:v>
      </x:c>
      <x:c r="F398" s="31" t="str"/>
      <x:c r="G398" s="31" t="str">
        <x:f>IF(C398="","NO DATA",IF(C398&gt;=30,"ALERT","NORMAL"))</x:f>
        <x:v>NORMAL</x:v>
      </x:c>
      <x:c r="H398" s="31" t="str">
        <x:f>IF(C398="","MISSING",IF(C398&gt;=30,"HIGH TEMP","OK"))</x:f>
        <x:v>OK</x:v>
      </x:c>
      <x:c r="I398" s="31" t="str">
        <x:f>IF(E398="","NO DATA",IF(E398&lt;20,"LOW FLOW","OK"))</x:f>
        <x:v>OK</x:v>
      </x:c>
      <x:c r="J398" s="31" t="str">
        <x:f>IF(OR(C398="",D398="",E398=""),"MISSING",IF(OR(C398&lt;0,C398&gt;60,D398&lt;50,D398&gt;400,E398&lt;0,E398&gt;200),"REVIEW","OK"))</x:f>
        <x:v>OK</x:v>
      </x:c>
    </x:row>
    <x:row r="399">
      <x:c r="A399" s="31" t="n">
        <x:v>398</x:v>
      </x:c>
      <x:c r="B399" s="32" t="n">
        <x:v>46310.379282407404</x:v>
      </x:c>
      <x:c r="C399" s="33" t="n">
        <x:v>23.835</x:v>
      </x:c>
      <x:c r="D399" s="33" t="n">
        <x:v>209.89</x:v>
      </x:c>
      <x:c r="E399" s="33" t="n">
        <x:v>79.113</x:v>
      </x:c>
      <x:c r="F399" s="31" t="str"/>
      <x:c r="G399" s="31" t="str">
        <x:f>IF(C399="","NO DATA",IF(C399&gt;=30,"ALERT","NORMAL"))</x:f>
        <x:v>NORMAL</x:v>
      </x:c>
      <x:c r="H399" s="31" t="str">
        <x:f>IF(C399="","MISSING",IF(C399&gt;=30,"HIGH TEMP","OK"))</x:f>
        <x:v>OK</x:v>
      </x:c>
      <x:c r="I399" s="31" t="str">
        <x:f>IF(E399="","NO DATA",IF(E399&lt;20,"LOW FLOW","OK"))</x:f>
        <x:v>OK</x:v>
      </x:c>
      <x:c r="J399" s="31" t="str">
        <x:f>IF(OR(C399="",D399="",E399=""),"MISSING",IF(OR(C399&lt;0,C399&gt;60,D399&lt;50,D399&gt;400,E399&lt;0,E399&gt;200),"REVIEW","OK"))</x:f>
        <x:v>OK</x:v>
      </x:c>
    </x:row>
    <x:row r="400">
      <x:c r="A400" s="31" t="n">
        <x:v>399</x:v>
      </x:c>
      <x:c r="B400" s="32" t="n">
        <x:v>46310.37939814815</x:v>
      </x:c>
      <x:c r="C400" s="33" t="n">
        <x:v>23.925</x:v>
      </x:c>
      <x:c r="D400" s="33" t="n">
        <x:v>211.857</x:v>
      </x:c>
      <x:c r="E400" s="33" t="n">
        <x:v>80.309</x:v>
      </x:c>
      <x:c r="F400" s="31" t="str"/>
      <x:c r="G400" s="31" t="str">
        <x:f>IF(C400="","NO DATA",IF(C400&gt;=30,"ALERT","NORMAL"))</x:f>
        <x:v>NORMAL</x:v>
      </x:c>
      <x:c r="H400" s="31" t="str">
        <x:f>IF(C400="","MISSING",IF(C400&gt;=30,"HIGH TEMP","OK"))</x:f>
        <x:v>OK</x:v>
      </x:c>
      <x:c r="I400" s="31" t="str">
        <x:f>IF(E400="","NO DATA",IF(E400&lt;20,"LOW FLOW","OK"))</x:f>
        <x:v>OK</x:v>
      </x:c>
      <x:c r="J400" s="31" t="str">
        <x:f>IF(OR(C400="",D400="",E400=""),"MISSING",IF(OR(C400&lt;0,C400&gt;60,D400&lt;50,D400&gt;400,E400&lt;0,E400&gt;200),"REVIEW","OK"))</x:f>
        <x:v>OK</x:v>
      </x:c>
    </x:row>
    <x:row r="401">
      <x:c r="A401" s="31" t="n">
        <x:v>400</x:v>
      </x:c>
      <x:c r="B401" s="32" t="n">
        <x:v>46310.37951388889</x:v>
      </x:c>
      <x:c r="C401" s="33" t="n">
        <x:v>23.778</x:v>
      </x:c>
      <x:c r="D401" s="33" t="n">
        <x:v>212.018</x:v>
      </x:c>
      <x:c r="E401" s="33" t="n">
        <x:v>80.023</x:v>
      </x:c>
      <x:c r="F401" s="31" t="str"/>
      <x:c r="G401" s="31" t="str">
        <x:f>IF(C401="","NO DATA",IF(C401&gt;=30,"ALERT","NORMAL"))</x:f>
        <x:v>NORMAL</x:v>
      </x:c>
      <x:c r="H401" s="31" t="str">
        <x:f>IF(C401="","MISSING",IF(C401&gt;=30,"HIGH TEMP","OK"))</x:f>
        <x:v>OK</x:v>
      </x:c>
      <x:c r="I401" s="31" t="str">
        <x:f>IF(E401="","NO DATA",IF(E401&lt;20,"LOW FLOW","OK"))</x:f>
        <x:v>OK</x:v>
      </x:c>
      <x:c r="J401" s="31" t="str">
        <x:f>IF(OR(C401="",D401="",E401=""),"MISSING",IF(OR(C401&lt;0,C401&gt;60,D401&lt;50,D401&gt;400,E401&lt;0,E401&gt;200),"REVIEW","OK"))</x:f>
        <x:v>OK</x:v>
      </x:c>
    </x:row>
    <x:row r="402">
      <x:c r="A402" s="31" t="n">
        <x:v>401</x:v>
      </x:c>
      <x:c r="B402" s="32" t="n">
        <x:v>46310.37962962963</x:v>
      </x:c>
      <x:c r="C402" s="33" t="n">
        <x:v>23.932</x:v>
      </x:c>
      <x:c r="D402" s="33" t="n">
        <x:v>212.102</x:v>
      </x:c>
      <x:c r="E402" s="33" t="n">
        <x:v>80.02</x:v>
      </x:c>
      <x:c r="F402" s="31" t="str"/>
      <x:c r="G402" s="31" t="str">
        <x:f>IF(C402="","NO DATA",IF(C402&gt;=30,"ALERT","NORMAL"))</x:f>
        <x:v>NORMAL</x:v>
      </x:c>
      <x:c r="H402" s="31" t="str">
        <x:f>IF(C402="","MISSING",IF(C402&gt;=30,"HIGH TEMP","OK"))</x:f>
        <x:v>OK</x:v>
      </x:c>
      <x:c r="I402" s="31" t="str">
        <x:f>IF(E402="","NO DATA",IF(E402&lt;20,"LOW FLOW","OK"))</x:f>
        <x:v>OK</x:v>
      </x:c>
      <x:c r="J402" s="31" t="str">
        <x:f>IF(OR(C402="",D402="",E402=""),"MISSING",IF(OR(C402&lt;0,C402&gt;60,D402&lt;50,D402&gt;400,E402&lt;0,E402&gt;200),"REVIEW","OK"))</x:f>
        <x:v>OK</x:v>
      </x:c>
    </x:row>
    <x:row r="403">
      <x:c r="A403" s="31" t="n">
        <x:v>402</x:v>
      </x:c>
      <x:c r="B403" s="32" t="n">
        <x:v>46310.379745370374</x:v>
      </x:c>
      <x:c r="C403" s="33" t="n">
        <x:v>23.964</x:v>
      </x:c>
      <x:c r="D403" s="33" t="n">
        <x:v>211.637</x:v>
      </x:c>
      <x:c r="E403" s="33" t="n">
        <x:v>80.576</x:v>
      </x:c>
      <x:c r="F403" s="31" t="str"/>
      <x:c r="G403" s="31" t="str">
        <x:f>IF(C403="","NO DATA",IF(C403&gt;=30,"ALERT","NORMAL"))</x:f>
        <x:v>NORMAL</x:v>
      </x:c>
      <x:c r="H403" s="31" t="str">
        <x:f>IF(C403="","MISSING",IF(C403&gt;=30,"HIGH TEMP","OK"))</x:f>
        <x:v>OK</x:v>
      </x:c>
      <x:c r="I403" s="31" t="str">
        <x:f>IF(E403="","NO DATA",IF(E403&lt;20,"LOW FLOW","OK"))</x:f>
        <x:v>OK</x:v>
      </x:c>
      <x:c r="J403" s="31" t="str">
        <x:f>IF(OR(C403="",D403="",E403=""),"MISSING",IF(OR(C403&lt;0,C403&gt;60,D403&lt;50,D403&gt;400,E403&lt;0,E403&gt;200),"REVIEW","OK"))</x:f>
        <x:v>OK</x:v>
      </x:c>
    </x:row>
    <x:row r="404">
      <x:c r="A404" s="31" t="n">
        <x:v>403</x:v>
      </x:c>
      <x:c r="B404" s="32" t="n">
        <x:v>46310.37986111111</x:v>
      </x:c>
      <x:c r="C404" s="33" t="n">
        <x:v>23.856</x:v>
      </x:c>
      <x:c r="D404" s="33" t="n">
        <x:v>212.655</x:v>
      </x:c>
      <x:c r="E404" s="33" t="n">
        <x:v>80.669</x:v>
      </x:c>
      <x:c r="F404" s="31" t="str"/>
      <x:c r="G404" s="31" t="str">
        <x:f>IF(C404="","NO DATA",IF(C404&gt;=30,"ALERT","NORMAL"))</x:f>
        <x:v>NORMAL</x:v>
      </x:c>
      <x:c r="H404" s="31" t="str">
        <x:f>IF(C404="","MISSING",IF(C404&gt;=30,"HIGH TEMP","OK"))</x:f>
        <x:v>OK</x:v>
      </x:c>
      <x:c r="I404" s="31" t="str">
        <x:f>IF(E404="","NO DATA",IF(E404&lt;20,"LOW FLOW","OK"))</x:f>
        <x:v>OK</x:v>
      </x:c>
      <x:c r="J404" s="31" t="str">
        <x:f>IF(OR(C404="",D404="",E404=""),"MISSING",IF(OR(C404&lt;0,C404&gt;60,D404&lt;50,D404&gt;400,E404&lt;0,E404&gt;200),"REVIEW","OK"))</x:f>
        <x:v>OK</x:v>
      </x:c>
    </x:row>
    <x:row r="405">
      <x:c r="A405" s="31" t="n">
        <x:v>404</x:v>
      </x:c>
      <x:c r="B405" s="32" t="n">
        <x:v>46310.37997685185</x:v>
      </x:c>
      <x:c r="C405" s="33" t="n">
        <x:v>23.695</x:v>
      </x:c>
      <x:c r="D405" s="33" t="n">
        <x:v>210.386</x:v>
      </x:c>
      <x:c r="E405" s="33" t="n">
        <x:v>80.341</x:v>
      </x:c>
      <x:c r="F405" s="31" t="str"/>
      <x:c r="G405" s="31" t="str">
        <x:f>IF(C405="","NO DATA",IF(C405&gt;=30,"ALERT","NORMAL"))</x:f>
        <x:v>NORMAL</x:v>
      </x:c>
      <x:c r="H405" s="31" t="str">
        <x:f>IF(C405="","MISSING",IF(C405&gt;=30,"HIGH TEMP","OK"))</x:f>
        <x:v>OK</x:v>
      </x:c>
      <x:c r="I405" s="31" t="str">
        <x:f>IF(E405="","NO DATA",IF(E405&lt;20,"LOW FLOW","OK"))</x:f>
        <x:v>OK</x:v>
      </x:c>
      <x:c r="J405" s="31" t="str">
        <x:f>IF(OR(C405="",D405="",E405=""),"MISSING",IF(OR(C405&lt;0,C405&gt;60,D405&lt;50,D405&gt;400,E405&lt;0,E405&gt;200),"REVIEW","OK"))</x:f>
        <x:v>OK</x:v>
      </x:c>
    </x:row>
    <x:row r="406">
      <x:c r="A406" s="31" t="n">
        <x:v>405</x:v>
      </x:c>
      <x:c r="B406" s="32" t="n">
        <x:v>46310.38009259259</x:v>
      </x:c>
      <x:c r="C406" s="33" t="n">
        <x:v>23.722</x:v>
      </x:c>
      <x:c r="D406" s="33" t="n">
        <x:v>211.121</x:v>
      </x:c>
      <x:c r="E406" s="33" t="n">
        <x:v>79.534</x:v>
      </x:c>
      <x:c r="F406" s="31" t="str"/>
      <x:c r="G406" s="31" t="str">
        <x:f>IF(C406="","NO DATA",IF(C406&gt;=30,"ALERT","NORMAL"))</x:f>
        <x:v>NORMAL</x:v>
      </x:c>
      <x:c r="H406" s="31" t="str">
        <x:f>IF(C406="","MISSING",IF(C406&gt;=30,"HIGH TEMP","OK"))</x:f>
        <x:v>OK</x:v>
      </x:c>
      <x:c r="I406" s="31" t="str">
        <x:f>IF(E406="","NO DATA",IF(E406&lt;20,"LOW FLOW","OK"))</x:f>
        <x:v>OK</x:v>
      </x:c>
      <x:c r="J406" s="31" t="str">
        <x:f>IF(OR(C406="",D406="",E406=""),"MISSING",IF(OR(C406&lt;0,C406&gt;60,D406&lt;50,D406&gt;400,E406&lt;0,E406&gt;200),"REVIEW","OK"))</x:f>
        <x:v>OK</x:v>
      </x:c>
    </x:row>
    <x:row r="407">
      <x:c r="A407" s="31" t="n">
        <x:v>406</x:v>
      </x:c>
      <x:c r="B407" s="32" t="n">
        <x:v>46310.380208333336</x:v>
      </x:c>
      <x:c r="C407" s="33" t="n">
        <x:v>23.766</x:v>
      </x:c>
      <x:c r="D407" s="33" t="n">
        <x:v>211.342</x:v>
      </x:c>
      <x:c r="E407" s="33" t="n">
        <x:v>80.606</x:v>
      </x:c>
      <x:c r="F407" s="31" t="str"/>
      <x:c r="G407" s="31" t="str">
        <x:f>IF(C407="","NO DATA",IF(C407&gt;=30,"ALERT","NORMAL"))</x:f>
        <x:v>NORMAL</x:v>
      </x:c>
      <x:c r="H407" s="31" t="str">
        <x:f>IF(C407="","MISSING",IF(C407&gt;=30,"HIGH TEMP","OK"))</x:f>
        <x:v>OK</x:v>
      </x:c>
      <x:c r="I407" s="31" t="str">
        <x:f>IF(E407="","NO DATA",IF(E407&lt;20,"LOW FLOW","OK"))</x:f>
        <x:v>OK</x:v>
      </x:c>
      <x:c r="J407" s="31" t="str">
        <x:f>IF(OR(C407="",D407="",E407=""),"MISSING",IF(OR(C407&lt;0,C407&gt;60,D407&lt;50,D407&gt;400,E407&lt;0,E407&gt;200),"REVIEW","OK"))</x:f>
        <x:v>OK</x:v>
      </x:c>
    </x:row>
    <x:row r="408">
      <x:c r="A408" s="31" t="n">
        <x:v>407</x:v>
      </x:c>
      <x:c r="B408" s="32" t="n">
        <x:v>46310.380324074074</x:v>
      </x:c>
      <x:c r="C408" s="33" t="n">
        <x:v>23.613</x:v>
      </x:c>
      <x:c r="D408" s="33" t="n">
        <x:v>213.019</x:v>
      </x:c>
      <x:c r="E408" s="33" t="n">
        <x:v>79.83</x:v>
      </x:c>
      <x:c r="F408" s="31" t="str"/>
      <x:c r="G408" s="31" t="str">
        <x:f>IF(C408="","NO DATA",IF(C408&gt;=30,"ALERT","NORMAL"))</x:f>
        <x:v>NORMAL</x:v>
      </x:c>
      <x:c r="H408" s="31" t="str">
        <x:f>IF(C408="","MISSING",IF(C408&gt;=30,"HIGH TEMP","OK"))</x:f>
        <x:v>OK</x:v>
      </x:c>
      <x:c r="I408" s="31" t="str">
        <x:f>IF(E408="","NO DATA",IF(E408&lt;20,"LOW FLOW","OK"))</x:f>
        <x:v>OK</x:v>
      </x:c>
      <x:c r="J408" s="31" t="str">
        <x:f>IF(OR(C408="",D408="",E408=""),"MISSING",IF(OR(C408&lt;0,C408&gt;60,D408&lt;50,D408&gt;400,E408&lt;0,E408&gt;200),"REVIEW","OK"))</x:f>
        <x:v>OK</x:v>
      </x:c>
    </x:row>
    <x:row r="409">
      <x:c r="A409" s="31" t="n">
        <x:v>408</x:v>
      </x:c>
      <x:c r="B409" s="32" t="n">
        <x:v>46310.38043981481</x:v>
      </x:c>
      <x:c r="C409" s="33" t="n">
        <x:v>23.839</x:v>
      </x:c>
      <x:c r="D409" s="33" t="n">
        <x:v>213.2</x:v>
      </x:c>
      <x:c r="E409" s="33" t="n">
        <x:v>81.249</x:v>
      </x:c>
      <x:c r="F409" s="31" t="str"/>
      <x:c r="G409" s="31" t="str">
        <x:f>IF(C409="","NO DATA",IF(C409&gt;=30,"ALERT","NORMAL"))</x:f>
        <x:v>NORMAL</x:v>
      </x:c>
      <x:c r="H409" s="31" t="str">
        <x:f>IF(C409="","MISSING",IF(C409&gt;=30,"HIGH TEMP","OK"))</x:f>
        <x:v>OK</x:v>
      </x:c>
      <x:c r="I409" s="31" t="str">
        <x:f>IF(E409="","NO DATA",IF(E409&lt;20,"LOW FLOW","OK"))</x:f>
        <x:v>OK</x:v>
      </x:c>
      <x:c r="J409" s="31" t="str">
        <x:f>IF(OR(C409="",D409="",E409=""),"MISSING",IF(OR(C409&lt;0,C409&gt;60,D409&lt;50,D409&gt;400,E409&lt;0,E409&gt;200),"REVIEW","OK"))</x:f>
        <x:v>OK</x:v>
      </x:c>
    </x:row>
    <x:row r="410">
      <x:c r="A410" s="31" t="n">
        <x:v>409</x:v>
      </x:c>
      <x:c r="B410" s="32" t="n">
        <x:v>46310.38055555556</x:v>
      </x:c>
      <x:c r="C410" s="33" t="n">
        <x:v>23.715</x:v>
      </x:c>
      <x:c r="D410" s="33" t="n">
        <x:v>212.13</x:v>
      </x:c>
      <x:c r="E410" s="33" t="n">
        <x:v>81.232</x:v>
      </x:c>
      <x:c r="F410" s="31" t="str"/>
      <x:c r="G410" s="31" t="str">
        <x:f>IF(C410="","NO DATA",IF(C410&gt;=30,"ALERT","NORMAL"))</x:f>
        <x:v>NORMAL</x:v>
      </x:c>
      <x:c r="H410" s="31" t="str">
        <x:f>IF(C410="","MISSING",IF(C410&gt;=30,"HIGH TEMP","OK"))</x:f>
        <x:v>OK</x:v>
      </x:c>
      <x:c r="I410" s="31" t="str">
        <x:f>IF(E410="","NO DATA",IF(E410&lt;20,"LOW FLOW","OK"))</x:f>
        <x:v>OK</x:v>
      </x:c>
      <x:c r="J410" s="31" t="str">
        <x:f>IF(OR(C410="",D410="",E410=""),"MISSING",IF(OR(C410&lt;0,C410&gt;60,D410&lt;50,D410&gt;400,E410&lt;0,E410&gt;200),"REVIEW","OK"))</x:f>
        <x:v>OK</x:v>
      </x:c>
    </x:row>
    <x:row r="411">
      <x:c r="A411" s="31" t="n">
        <x:v>410</x:v>
      </x:c>
      <x:c r="B411" s="32" t="n">
        <x:v>46310.3806712963</x:v>
      </x:c>
      <x:c r="C411" s="33" t="n">
        <x:v>23.784</x:v>
      </x:c>
      <x:c r="D411" s="33" t="n">
        <x:v>213.535</x:v>
      </x:c>
      <x:c r="E411" s="33" t="n">
        <x:v>81.112</x:v>
      </x:c>
      <x:c r="F411" s="31" t="str"/>
      <x:c r="G411" s="31" t="str">
        <x:f>IF(C411="","NO DATA",IF(C411&gt;=30,"ALERT","NORMAL"))</x:f>
        <x:v>NORMAL</x:v>
      </x:c>
      <x:c r="H411" s="31" t="str">
        <x:f>IF(C411="","MISSING",IF(C411&gt;=30,"HIGH TEMP","OK"))</x:f>
        <x:v>OK</x:v>
      </x:c>
      <x:c r="I411" s="31" t="str">
        <x:f>IF(E411="","NO DATA",IF(E411&lt;20,"LOW FLOW","OK"))</x:f>
        <x:v>OK</x:v>
      </x:c>
      <x:c r="J411" s="31" t="str">
        <x:f>IF(OR(C411="",D411="",E411=""),"MISSING",IF(OR(C411&lt;0,C411&gt;60,D411&lt;50,D411&gt;400,E411&lt;0,E411&gt;200),"REVIEW","OK"))</x:f>
        <x:v>OK</x:v>
      </x:c>
    </x:row>
    <x:row r="412">
      <x:c r="A412" s="31" t="n">
        <x:v>411</x:v>
      </x:c>
      <x:c r="B412" s="32" t="n">
        <x:v>46310.38078703704</x:v>
      </x:c>
      <x:c r="C412" s="33" t="n">
        <x:v>84</x:v>
      </x:c>
      <x:c r="D412" s="33" t="n">
        <x:v>212.906</x:v>
      </x:c>
      <x:c r="E412" s="33" t="n">
        <x:v>80.937</x:v>
      </x:c>
      <x:c r="F412" s="31" t="str">
        <x:v>Temperature spike</x:v>
      </x:c>
      <x:c r="G412" s="31" t="str">
        <x:f>IF(C412="","NO DATA",IF(C412&gt;=30,"ALERT","NORMAL"))</x:f>
        <x:v>ALERT</x:v>
      </x:c>
      <x:c r="H412" s="31" t="str">
        <x:f>IF(C412="","MISSING",IF(C412&gt;=30,"HIGH TEMP","OK"))</x:f>
        <x:v>HIGH TEMP</x:v>
      </x:c>
      <x:c r="I412" s="31" t="str">
        <x:f>IF(E412="","NO DATA",IF(E412&lt;20,"LOW FLOW","OK"))</x:f>
        <x:v>OK</x:v>
      </x:c>
      <x:c r="J412" s="31" t="str">
        <x:f>IF(OR(C412="",D412="",E412=""),"MISSING",IF(OR(C412&lt;0,C412&gt;60,D412&lt;50,D412&gt;400,E412&lt;0,E412&gt;200),"REVIEW","OK"))</x:f>
        <x:v>REVIEW</x:v>
      </x:c>
    </x:row>
    <x:row r="413">
      <x:c r="A413" s="31" t="n">
        <x:v>412</x:v>
      </x:c>
      <x:c r="B413" s="32" t="n">
        <x:v>46310.380902777775</x:v>
      </x:c>
      <x:c r="C413" s="33" t="n">
        <x:v>-12</x:v>
      </x:c>
      <x:c r="D413" s="33" t="n">
        <x:v>211.504</x:v>
      </x:c>
      <x:c r="E413" s="33" t="n">
        <x:v>80.448</x:v>
      </x:c>
      <x:c r="F413" s="31" t="str">
        <x:v>Temperature spike</x:v>
      </x:c>
      <x:c r="G413" s="31" t="str">
        <x:f>IF(C413="","NO DATA",IF(C413&gt;=30,"ALERT","NORMAL"))</x:f>
        <x:v>NORMAL</x:v>
      </x:c>
      <x:c r="H413" s="31" t="str">
        <x:f>IF(C413="","MISSING",IF(C413&gt;=30,"HIGH TEMP","OK"))</x:f>
        <x:v>OK</x:v>
      </x:c>
      <x:c r="I413" s="31" t="str">
        <x:f>IF(E413="","NO DATA",IF(E413&lt;20,"LOW FLOW","OK"))</x:f>
        <x:v>OK</x:v>
      </x:c>
      <x:c r="J413" s="31" t="str">
        <x:f>IF(OR(C413="",D413="",E413=""),"MISSING",IF(OR(C413&lt;0,C413&gt;60,D413&lt;50,D413&gt;400,E413&lt;0,E413&gt;200),"REVIEW","OK"))</x:f>
        <x:v>REVIEW</x:v>
      </x:c>
    </x:row>
    <x:row r="414">
      <x:c r="A414" s="31" t="n">
        <x:v>413</x:v>
      </x:c>
      <x:c r="B414" s="32" t="n">
        <x:v>46310.38101851852</x:v>
      </x:c>
      <x:c r="C414" s="33" t="n">
        <x:v>23.532</x:v>
      </x:c>
      <x:c r="D414" s="33" t="n">
        <x:v>213.847</x:v>
      </x:c>
      <x:c r="E414" s="33" t="n">
        <x:v>81.258</x:v>
      </x:c>
      <x:c r="F414" s="31" t="str"/>
      <x:c r="G414" s="31" t="str">
        <x:f>IF(C414="","NO DATA",IF(C414&gt;=30,"ALERT","NORMAL"))</x:f>
        <x:v>NORMAL</x:v>
      </x:c>
      <x:c r="H414" s="31" t="str">
        <x:f>IF(C414="","MISSING",IF(C414&gt;=30,"HIGH TEMP","OK"))</x:f>
        <x:v>OK</x:v>
      </x:c>
      <x:c r="I414" s="31" t="str">
        <x:f>IF(E414="","NO DATA",IF(E414&lt;20,"LOW FLOW","OK"))</x:f>
        <x:v>OK</x:v>
      </x:c>
      <x:c r="J414" s="31" t="str">
        <x:f>IF(OR(C414="",D414="",E414=""),"MISSING",IF(OR(C414&lt;0,C414&gt;60,D414&lt;50,D414&gt;400,E414&lt;0,E414&gt;200),"REVIEW","OK"))</x:f>
        <x:v>OK</x:v>
      </x:c>
    </x:row>
    <x:row r="415">
      <x:c r="A415" s="31" t="n">
        <x:v>414</x:v>
      </x:c>
      <x:c r="B415" s="32" t="n">
        <x:v>46310.38113425926</x:v>
      </x:c>
      <x:c r="C415" s="33" t="n">
        <x:v>23.701</x:v>
      </x:c>
      <x:c r="D415" s="33" t="n">
        <x:v>212.758</x:v>
      </x:c>
      <x:c r="E415" s="33" t="n">
        <x:v>80.984</x:v>
      </x:c>
      <x:c r="F415" s="31" t="str"/>
      <x:c r="G415" s="31" t="str">
        <x:f>IF(C415="","NO DATA",IF(C415&gt;=30,"ALERT","NORMAL"))</x:f>
        <x:v>NORMAL</x:v>
      </x:c>
      <x:c r="H415" s="31" t="str">
        <x:f>IF(C415="","MISSING",IF(C415&gt;=30,"HIGH TEMP","OK"))</x:f>
        <x:v>OK</x:v>
      </x:c>
      <x:c r="I415" s="31" t="str">
        <x:f>IF(E415="","NO DATA",IF(E415&lt;20,"LOW FLOW","OK"))</x:f>
        <x:v>OK</x:v>
      </x:c>
      <x:c r="J415" s="31" t="str">
        <x:f>IF(OR(C415="",D415="",E415=""),"MISSING",IF(OR(C415&lt;0,C415&gt;60,D415&lt;50,D415&gt;400,E415&lt;0,E415&gt;200),"REVIEW","OK"))</x:f>
        <x:v>OK</x:v>
      </x:c>
    </x:row>
    <x:row r="416">
      <x:c r="A416" s="31" t="n">
        <x:v>415</x:v>
      </x:c>
      <x:c r="B416" s="32" t="n">
        <x:v>46310.38125</x:v>
      </x:c>
      <x:c r="C416" s="33" t="n">
        <x:v>23.548</x:v>
      </x:c>
      <x:c r="D416" s="33" t="n">
        <x:v>212.65</x:v>
      </x:c>
      <x:c r="E416" s="33" t="n">
        <x:v>81.761</x:v>
      </x:c>
      <x:c r="F416" s="31" t="str"/>
      <x:c r="G416" s="31" t="str">
        <x:f>IF(C416="","NO DATA",IF(C416&gt;=30,"ALERT","NORMAL"))</x:f>
        <x:v>NORMAL</x:v>
      </x:c>
      <x:c r="H416" s="31" t="str">
        <x:f>IF(C416="","MISSING",IF(C416&gt;=30,"HIGH TEMP","OK"))</x:f>
        <x:v>OK</x:v>
      </x:c>
      <x:c r="I416" s="31" t="str">
        <x:f>IF(E416="","NO DATA",IF(E416&lt;20,"LOW FLOW","OK"))</x:f>
        <x:v>OK</x:v>
      </x:c>
      <x:c r="J416" s="31" t="str">
        <x:f>IF(OR(C416="",D416="",E416=""),"MISSING",IF(OR(C416&lt;0,C416&gt;60,D416&lt;50,D416&gt;400,E416&lt;0,E416&gt;200),"REVIEW","OK"))</x:f>
        <x:v>OK</x:v>
      </x:c>
    </x:row>
    <x:row r="417">
      <x:c r="A417" s="31" t="n">
        <x:v>416</x:v>
      </x:c>
      <x:c r="B417" s="32" t="n">
        <x:v>46310.38136574074</x:v>
      </x:c>
      <x:c r="C417" s="33" t="n">
        <x:v>23.618</x:v>
      </x:c>
      <x:c r="D417" s="33" t="n">
        <x:v>211.903</x:v>
      </x:c>
      <x:c r="E417" s="33" t="n">
        <x:v>81.737</x:v>
      </x:c>
      <x:c r="F417" s="31" t="str"/>
      <x:c r="G417" s="31" t="str">
        <x:f>IF(C417="","NO DATA",IF(C417&gt;=30,"ALERT","NORMAL"))</x:f>
        <x:v>NORMAL</x:v>
      </x:c>
      <x:c r="H417" s="31" t="str">
        <x:f>IF(C417="","MISSING",IF(C417&gt;=30,"HIGH TEMP","OK"))</x:f>
        <x:v>OK</x:v>
      </x:c>
      <x:c r="I417" s="31" t="str">
        <x:f>IF(E417="","NO DATA",IF(E417&lt;20,"LOW FLOW","OK"))</x:f>
        <x:v>OK</x:v>
      </x:c>
      <x:c r="J417" s="31" t="str">
        <x:f>IF(OR(C417="",D417="",E417=""),"MISSING",IF(OR(C417&lt;0,C417&gt;60,D417&lt;50,D417&gt;400,E417&lt;0,E417&gt;200),"REVIEW","OK"))</x:f>
        <x:v>OK</x:v>
      </x:c>
    </x:row>
    <x:row r="418">
      <x:c r="A418" s="31" t="n">
        <x:v>417</x:v>
      </x:c>
      <x:c r="B418" s="32" t="n">
        <x:v>46310.38148148148</x:v>
      </x:c>
      <x:c r="C418" s="33" t="n">
        <x:v>23.533</x:v>
      </x:c>
      <x:c r="D418" s="33" t="n">
        <x:v>212.739</x:v>
      </x:c>
      <x:c r="E418" s="33" t="n">
        <x:v>81.791</x:v>
      </x:c>
      <x:c r="F418" s="31" t="str"/>
      <x:c r="G418" s="31" t="str">
        <x:f>IF(C418="","NO DATA",IF(C418&gt;=30,"ALERT","NORMAL"))</x:f>
        <x:v>NORMAL</x:v>
      </x:c>
      <x:c r="H418" s="31" t="str">
        <x:f>IF(C418="","MISSING",IF(C418&gt;=30,"HIGH TEMP","OK"))</x:f>
        <x:v>OK</x:v>
      </x:c>
      <x:c r="I418" s="31" t="str">
        <x:f>IF(E418="","NO DATA",IF(E418&lt;20,"LOW FLOW","OK"))</x:f>
        <x:v>OK</x:v>
      </x:c>
      <x:c r="J418" s="31" t="str">
        <x:f>IF(OR(C418="",D418="",E418=""),"MISSING",IF(OR(C418&lt;0,C418&gt;60,D418&lt;50,D418&gt;400,E418&lt;0,E418&gt;200),"REVIEW","OK"))</x:f>
        <x:v>OK</x:v>
      </x:c>
    </x:row>
    <x:row r="419">
      <x:c r="A419" s="31" t="n">
        <x:v>418</x:v>
      </x:c>
      <x:c r="B419" s="32" t="n">
        <x:v>46310.38159722222</x:v>
      </x:c>
      <x:c r="C419" s="33" t="n">
        <x:v>23.616</x:v>
      </x:c>
      <x:c r="D419" s="33" t="n">
        <x:v>213.964</x:v>
      </x:c>
      <x:c r="E419" s="33" t="n">
        <x:v>82.668</x:v>
      </x:c>
      <x:c r="F419" s="31" t="str"/>
      <x:c r="G419" s="31" t="str">
        <x:f>IF(C419="","NO DATA",IF(C419&gt;=30,"ALERT","NORMAL"))</x:f>
        <x:v>NORMAL</x:v>
      </x:c>
      <x:c r="H419" s="31" t="str">
        <x:f>IF(C419="","MISSING",IF(C419&gt;=30,"HIGH TEMP","OK"))</x:f>
        <x:v>OK</x:v>
      </x:c>
      <x:c r="I419" s="31" t="str">
        <x:f>IF(E419="","NO DATA",IF(E419&lt;20,"LOW FLOW","OK"))</x:f>
        <x:v>OK</x:v>
      </x:c>
      <x:c r="J419" s="31" t="str">
        <x:f>IF(OR(C419="",D419="",E419=""),"MISSING",IF(OR(C419&lt;0,C419&gt;60,D419&lt;50,D419&gt;400,E419&lt;0,E419&gt;200),"REVIEW","OK"))</x:f>
        <x:v>OK</x:v>
      </x:c>
    </x:row>
    <x:row r="420">
      <x:c r="A420" s="31" t="n">
        <x:v>419</x:v>
      </x:c>
      <x:c r="B420" s="32" t="n">
        <x:v>46310.38171296296</x:v>
      </x:c>
      <x:c r="C420" s="33" t="n">
        <x:v>23.446</x:v>
      </x:c>
      <x:c r="D420" s="33" t="n">
        <x:v>211.96</x:v>
      </x:c>
      <x:c r="E420" s="33" t="n">
        <x:v>82.878</x:v>
      </x:c>
      <x:c r="F420" s="31" t="str"/>
      <x:c r="G420" s="31" t="str">
        <x:f>IF(C420="","NO DATA",IF(C420&gt;=30,"ALERT","NORMAL"))</x:f>
        <x:v>NORMAL</x:v>
      </x:c>
      <x:c r="H420" s="31" t="str">
        <x:f>IF(C420="","MISSING",IF(C420&gt;=30,"HIGH TEMP","OK"))</x:f>
        <x:v>OK</x:v>
      </x:c>
      <x:c r="I420" s="31" t="str">
        <x:f>IF(E420="","NO DATA",IF(E420&lt;20,"LOW FLOW","OK"))</x:f>
        <x:v>OK</x:v>
      </x:c>
      <x:c r="J420" s="31" t="str">
        <x:f>IF(OR(C420="",D420="",E420=""),"MISSING",IF(OR(C420&lt;0,C420&gt;60,D420&lt;50,D420&gt;400,E420&lt;0,E420&gt;200),"REVIEW","OK"))</x:f>
        <x:v>OK</x:v>
      </x:c>
    </x:row>
    <x:row r="421">
      <x:c r="A421" s="31" t="n">
        <x:v>420</x:v>
      </x:c>
      <x:c r="B421" s="32" t="n">
        <x:v>46310.38182870371</x:v>
      </x:c>
      <x:c r="C421" s="33" t="n">
        <x:v>23.501</x:v>
      </x:c>
      <x:c r="D421" s="33" t="n">
        <x:v>213.924</x:v>
      </x:c>
      <x:c r="E421" s="33" t="n">
        <x:v>82.96</x:v>
      </x:c>
      <x:c r="F421" s="31" t="str"/>
      <x:c r="G421" s="31" t="str">
        <x:f>IF(C421="","NO DATA",IF(C421&gt;=30,"ALERT","NORMAL"))</x:f>
        <x:v>NORMAL</x:v>
      </x:c>
      <x:c r="H421" s="31" t="str">
        <x:f>IF(C421="","MISSING",IF(C421&gt;=30,"HIGH TEMP","OK"))</x:f>
        <x:v>OK</x:v>
      </x:c>
      <x:c r="I421" s="31" t="str">
        <x:f>IF(E421="","NO DATA",IF(E421&lt;20,"LOW FLOW","OK"))</x:f>
        <x:v>OK</x:v>
      </x:c>
      <x:c r="J421" s="31" t="str">
        <x:f>IF(OR(C421="",D421="",E421=""),"MISSING",IF(OR(C421&lt;0,C421&gt;60,D421&lt;50,D421&gt;400,E421&lt;0,E421&gt;200),"REVIEW","OK"))</x:f>
        <x:v>OK</x:v>
      </x:c>
    </x:row>
    <x:row r="422">
      <x:c r="A422" s="31" t="n">
        <x:v>421</x:v>
      </x:c>
      <x:c r="B422" s="32" t="n">
        <x:v>46310.381944444445</x:v>
      </x:c>
      <x:c r="C422" s="33" t="n">
        <x:v>23.678</x:v>
      </x:c>
      <x:c r="D422" s="33" t="n">
        <x:v>214.446</x:v>
      </x:c>
      <x:c r="E422" s="33" t="n">
        <x:v>82.317</x:v>
      </x:c>
      <x:c r="F422" s="31" t="str"/>
      <x:c r="G422" s="31" t="str">
        <x:f>IF(C422="","NO DATA",IF(C422&gt;=30,"ALERT","NORMAL"))</x:f>
        <x:v>NORMAL</x:v>
      </x:c>
      <x:c r="H422" s="31" t="str">
        <x:f>IF(C422="","MISSING",IF(C422&gt;=30,"HIGH TEMP","OK"))</x:f>
        <x:v>OK</x:v>
      </x:c>
      <x:c r="I422" s="31" t="str">
        <x:f>IF(E422="","NO DATA",IF(E422&lt;20,"LOW FLOW","OK"))</x:f>
        <x:v>OK</x:v>
      </x:c>
      <x:c r="J422" s="31" t="str">
        <x:f>IF(OR(C422="",D422="",E422=""),"MISSING",IF(OR(C422&lt;0,C422&gt;60,D422&lt;50,D422&gt;400,E422&lt;0,E422&gt;200),"REVIEW","OK"))</x:f>
        <x:v>OK</x:v>
      </x:c>
    </x:row>
    <x:row r="423">
      <x:c r="A423" s="31" t="n">
        <x:v>422</x:v>
      </x:c>
      <x:c r="B423" s="32" t="n">
        <x:v>46310.382060185184</x:v>
      </x:c>
      <x:c r="C423" s="33" t="n">
        <x:v>23.572</x:v>
      </x:c>
      <x:c r="D423" s="33" t="n">
        <x:v>212.321</x:v>
      </x:c>
      <x:c r="E423" s="33" t="n">
        <x:v>82.488</x:v>
      </x:c>
      <x:c r="F423" s="31" t="str"/>
      <x:c r="G423" s="31" t="str">
        <x:f>IF(C423="","NO DATA",IF(C423&gt;=30,"ALERT","NORMAL"))</x:f>
        <x:v>NORMAL</x:v>
      </x:c>
      <x:c r="H423" s="31" t="str">
        <x:f>IF(C423="","MISSING",IF(C423&gt;=30,"HIGH TEMP","OK"))</x:f>
        <x:v>OK</x:v>
      </x:c>
      <x:c r="I423" s="31" t="str">
        <x:f>IF(E423="","NO DATA",IF(E423&lt;20,"LOW FLOW","OK"))</x:f>
        <x:v>OK</x:v>
      </x:c>
      <x:c r="J423" s="31" t="str">
        <x:f>IF(OR(C423="",D423="",E423=""),"MISSING",IF(OR(C423&lt;0,C423&gt;60,D423&lt;50,D423&gt;400,E423&lt;0,E423&gt;200),"REVIEW","OK"))</x:f>
        <x:v>OK</x:v>
      </x:c>
    </x:row>
    <x:row r="424">
      <x:c r="A424" s="31" t="n">
        <x:v>423</x:v>
      </x:c>
      <x:c r="B424" s="32" t="n">
        <x:v>46310.38217592592</x:v>
      </x:c>
      <x:c r="C424" s="33" t="n">
        <x:v>23.68</x:v>
      </x:c>
      <x:c r="D424" s="33" t="n">
        <x:v>214.058</x:v>
      </x:c>
      <x:c r="E424" s="33" t="n">
        <x:v>82.719</x:v>
      </x:c>
      <x:c r="F424" s="31" t="str"/>
      <x:c r="G424" s="31" t="str">
        <x:f>IF(C424="","NO DATA",IF(C424&gt;=30,"ALERT","NORMAL"))</x:f>
        <x:v>NORMAL</x:v>
      </x:c>
      <x:c r="H424" s="31" t="str">
        <x:f>IF(C424="","MISSING",IF(C424&gt;=30,"HIGH TEMP","OK"))</x:f>
        <x:v>OK</x:v>
      </x:c>
      <x:c r="I424" s="31" t="str">
        <x:f>IF(E424="","NO DATA",IF(E424&lt;20,"LOW FLOW","OK"))</x:f>
        <x:v>OK</x:v>
      </x:c>
      <x:c r="J424" s="31" t="str">
        <x:f>IF(OR(C424="",D424="",E424=""),"MISSING",IF(OR(C424&lt;0,C424&gt;60,D424&lt;50,D424&gt;400,E424&lt;0,E424&gt;200),"REVIEW","OK"))</x:f>
        <x:v>OK</x:v>
      </x:c>
    </x:row>
    <x:row r="425">
      <x:c r="A425" s="31" t="n">
        <x:v>424</x:v>
      </x:c>
      <x:c r="B425" s="32" t="n">
        <x:v>46310.38229166667</x:v>
      </x:c>
      <x:c r="C425" s="33" t="n">
        <x:v>23.56</x:v>
      </x:c>
      <x:c r="D425" s="33" t="n">
        <x:v>214.84</x:v>
      </x:c>
      <x:c r="E425" s="33" t="n">
        <x:v>82.649</x:v>
      </x:c>
      <x:c r="F425" s="31" t="str"/>
      <x:c r="G425" s="31" t="str">
        <x:f>IF(C425="","NO DATA",IF(C425&gt;=30,"ALERT","NORMAL"))</x:f>
        <x:v>NORMAL</x:v>
      </x:c>
      <x:c r="H425" s="31" t="str">
        <x:f>IF(C425="","MISSING",IF(C425&gt;=30,"HIGH TEMP","OK"))</x:f>
        <x:v>OK</x:v>
      </x:c>
      <x:c r="I425" s="31" t="str">
        <x:f>IF(E425="","NO DATA",IF(E425&lt;20,"LOW FLOW","OK"))</x:f>
        <x:v>OK</x:v>
      </x:c>
      <x:c r="J425" s="31" t="str">
        <x:f>IF(OR(C425="",D425="",E425=""),"MISSING",IF(OR(C425&lt;0,C425&gt;60,D425&lt;50,D425&gt;400,E425&lt;0,E425&gt;200),"REVIEW","OK"))</x:f>
        <x:v>OK</x:v>
      </x:c>
    </x:row>
    <x:row r="426">
      <x:c r="A426" s="31" t="n">
        <x:v>425</x:v>
      </x:c>
      <x:c r="B426" s="32" t="n">
        <x:v>46310.38240740741</x:v>
      </x:c>
      <x:c r="C426" s="33" t="n">
        <x:v>23.488</x:v>
      </x:c>
      <x:c r="D426" s="33" t="n">
        <x:v>214.46</x:v>
      </x:c>
      <x:c r="E426" s="33" t="n">
        <x:v>83.984</x:v>
      </x:c>
      <x:c r="F426" s="31" t="str"/>
      <x:c r="G426" s="31" t="str">
        <x:f>IF(C426="","NO DATA",IF(C426&gt;=30,"ALERT","NORMAL"))</x:f>
        <x:v>NORMAL</x:v>
      </x:c>
      <x:c r="H426" s="31" t="str">
        <x:f>IF(C426="","MISSING",IF(C426&gt;=30,"HIGH TEMP","OK"))</x:f>
        <x:v>OK</x:v>
      </x:c>
      <x:c r="I426" s="31" t="str">
        <x:f>IF(E426="","NO DATA",IF(E426&lt;20,"LOW FLOW","OK"))</x:f>
        <x:v>OK</x:v>
      </x:c>
      <x:c r="J426" s="31" t="str">
        <x:f>IF(OR(C426="",D426="",E426=""),"MISSING",IF(OR(C426&lt;0,C426&gt;60,D426&lt;50,D426&gt;400,E426&lt;0,E426&gt;200),"REVIEW","OK"))</x:f>
        <x:v>OK</x:v>
      </x:c>
    </x:row>
    <x:row r="427">
      <x:c r="A427" s="31" t="n">
        <x:v>426</x:v>
      </x:c>
      <x:c r="B427" s="32" t="n">
        <x:v>46310.382523148146</x:v>
      </x:c>
      <x:c r="C427" s="33" t="n">
        <x:v>23.57</x:v>
      </x:c>
      <x:c r="D427" s="33" t="n">
        <x:v>214.627</x:v>
      </x:c>
      <x:c r="E427" s="33" t="n">
        <x:v>83.928</x:v>
      </x:c>
      <x:c r="F427" s="31" t="str"/>
      <x:c r="G427" s="31" t="str">
        <x:f>IF(C427="","NO DATA",IF(C427&gt;=30,"ALERT","NORMAL"))</x:f>
        <x:v>NORMAL</x:v>
      </x:c>
      <x:c r="H427" s="31" t="str">
        <x:f>IF(C427="","MISSING",IF(C427&gt;=30,"HIGH TEMP","OK"))</x:f>
        <x:v>OK</x:v>
      </x:c>
      <x:c r="I427" s="31" t="str">
        <x:f>IF(E427="","NO DATA",IF(E427&lt;20,"LOW FLOW","OK"))</x:f>
        <x:v>OK</x:v>
      </x:c>
      <x:c r="J427" s="31" t="str">
        <x:f>IF(OR(C427="",D427="",E427=""),"MISSING",IF(OR(C427&lt;0,C427&gt;60,D427&lt;50,D427&gt;400,E427&lt;0,E427&gt;200),"REVIEW","OK"))</x:f>
        <x:v>OK</x:v>
      </x:c>
    </x:row>
    <x:row r="428">
      <x:c r="A428" s="31" t="n">
        <x:v>427</x:v>
      </x:c>
      <x:c r="B428" s="32" t="n">
        <x:v>46310.38263888889</x:v>
      </x:c>
      <x:c r="C428" s="33" t="n">
        <x:v>23.57</x:v>
      </x:c>
      <x:c r="D428" s="33" t="n">
        <x:v>213.771</x:v>
      </x:c>
      <x:c r="E428" s="33" t="n">
        <x:v>83.826</x:v>
      </x:c>
      <x:c r="F428" s="31" t="str"/>
      <x:c r="G428" s="31" t="str">
        <x:f>IF(C428="","NO DATA",IF(C428&gt;=30,"ALERT","NORMAL"))</x:f>
        <x:v>NORMAL</x:v>
      </x:c>
      <x:c r="H428" s="31" t="str">
        <x:f>IF(C428="","MISSING",IF(C428&gt;=30,"HIGH TEMP","OK"))</x:f>
        <x:v>OK</x:v>
      </x:c>
      <x:c r="I428" s="31" t="str">
        <x:f>IF(E428="","NO DATA",IF(E428&lt;20,"LOW FLOW","OK"))</x:f>
        <x:v>OK</x:v>
      </x:c>
      <x:c r="J428" s="31" t="str">
        <x:f>IF(OR(C428="",D428="",E428=""),"MISSING",IF(OR(C428&lt;0,C428&gt;60,D428&lt;50,D428&gt;400,E428&lt;0,E428&gt;200),"REVIEW","OK"))</x:f>
        <x:v>OK</x:v>
      </x:c>
    </x:row>
    <x:row r="429">
      <x:c r="A429" s="31" t="n">
        <x:v>428</x:v>
      </x:c>
      <x:c r="B429" s="32" t="n">
        <x:v>46310.38275462963</x:v>
      </x:c>
      <x:c r="C429" s="33" t="n">
        <x:v>23.487</x:v>
      </x:c>
      <x:c r="D429" s="33" t="n">
        <x:v>213.325</x:v>
      </x:c>
      <x:c r="E429" s="33" t="n">
        <x:v>83.263</x:v>
      </x:c>
      <x:c r="F429" s="31" t="str"/>
      <x:c r="G429" s="31" t="str">
        <x:f>IF(C429="","NO DATA",IF(C429&gt;=30,"ALERT","NORMAL"))</x:f>
        <x:v>NORMAL</x:v>
      </x:c>
      <x:c r="H429" s="31" t="str">
        <x:f>IF(C429="","MISSING",IF(C429&gt;=30,"HIGH TEMP","OK"))</x:f>
        <x:v>OK</x:v>
      </x:c>
      <x:c r="I429" s="31" t="str">
        <x:f>IF(E429="","NO DATA",IF(E429&lt;20,"LOW FLOW","OK"))</x:f>
        <x:v>OK</x:v>
      </x:c>
      <x:c r="J429" s="31" t="str">
        <x:f>IF(OR(C429="",D429="",E429=""),"MISSING",IF(OR(C429&lt;0,C429&gt;60,D429&lt;50,D429&gt;400,E429&lt;0,E429&gt;200),"REVIEW","OK"))</x:f>
        <x:v>OK</x:v>
      </x:c>
    </x:row>
    <x:row r="430">
      <x:c r="A430" s="31" t="n">
        <x:v>429</x:v>
      </x:c>
      <x:c r="B430" s="32" t="n">
        <x:v>46310.38287037037</x:v>
      </x:c>
      <x:c r="C430" s="33" t="n">
        <x:v>23.41</x:v>
      </x:c>
      <x:c r="D430" s="33" t="n">
        <x:v>212.926</x:v>
      </x:c>
      <x:c r="E430" s="33" t="n">
        <x:v>84.781</x:v>
      </x:c>
      <x:c r="F430" s="31" t="str"/>
      <x:c r="G430" s="31" t="str">
        <x:f>IF(C430="","NO DATA",IF(C430&gt;=30,"ALERT","NORMAL"))</x:f>
        <x:v>NORMAL</x:v>
      </x:c>
      <x:c r="H430" s="31" t="str">
        <x:f>IF(C430="","MISSING",IF(C430&gt;=30,"HIGH TEMP","OK"))</x:f>
        <x:v>OK</x:v>
      </x:c>
      <x:c r="I430" s="31" t="str">
        <x:f>IF(E430="","NO DATA",IF(E430&lt;20,"LOW FLOW","OK"))</x:f>
        <x:v>OK</x:v>
      </x:c>
      <x:c r="J430" s="31" t="str">
        <x:f>IF(OR(C430="",D430="",E430=""),"MISSING",IF(OR(C430&lt;0,C430&gt;60,D430&lt;50,D430&gt;400,E430&lt;0,E430&gt;200),"REVIEW","OK"))</x:f>
        <x:v>OK</x:v>
      </x:c>
    </x:row>
    <x:row r="431">
      <x:c r="A431" s="31" t="n">
        <x:v>430</x:v>
      </x:c>
      <x:c r="B431" s="32" t="n">
        <x:v>46310.38298611111</x:v>
      </x:c>
      <x:c r="C431" s="33" t="n">
        <x:v>23.499</x:v>
      </x:c>
      <x:c r="D431" s="33" t="n">
        <x:v>213.003</x:v>
      </x:c>
      <x:c r="E431" s="33" t="n">
        <x:v>82.947</x:v>
      </x:c>
      <x:c r="F431" s="31" t="str"/>
      <x:c r="G431" s="31" t="str">
        <x:f>IF(C431="","NO DATA",IF(C431&gt;=30,"ALERT","NORMAL"))</x:f>
        <x:v>NORMAL</x:v>
      </x:c>
      <x:c r="H431" s="31" t="str">
        <x:f>IF(C431="","MISSING",IF(C431&gt;=30,"HIGH TEMP","OK"))</x:f>
        <x:v>OK</x:v>
      </x:c>
      <x:c r="I431" s="31" t="str">
        <x:f>IF(E431="","NO DATA",IF(E431&lt;20,"LOW FLOW","OK"))</x:f>
        <x:v>OK</x:v>
      </x:c>
      <x:c r="J431" s="31" t="str">
        <x:f>IF(OR(C431="",D431="",E431=""),"MISSING",IF(OR(C431&lt;0,C431&gt;60,D431&lt;50,D431&gt;400,E431&lt;0,E431&gt;200),"REVIEW","OK"))</x:f>
        <x:v>OK</x:v>
      </x:c>
    </x:row>
    <x:row r="432">
      <x:c r="A432" s="31" t="n">
        <x:v>431</x:v>
      </x:c>
      <x:c r="B432" s="32" t="n">
        <x:v>46310.383101851854</x:v>
      </x:c>
      <x:c r="C432" s="33" t="n">
        <x:v>23.375</x:v>
      </x:c>
      <x:c r="D432" s="33" t="n">
        <x:v>214.892</x:v>
      </x:c>
      <x:c r="E432" s="33" t="n">
        <x:v>82.966</x:v>
      </x:c>
      <x:c r="F432" s="31" t="str"/>
      <x:c r="G432" s="31" t="str">
        <x:f>IF(C432="","NO DATA",IF(C432&gt;=30,"ALERT","NORMAL"))</x:f>
        <x:v>NORMAL</x:v>
      </x:c>
      <x:c r="H432" s="31" t="str">
        <x:f>IF(C432="","MISSING",IF(C432&gt;=30,"HIGH TEMP","OK"))</x:f>
        <x:v>OK</x:v>
      </x:c>
      <x:c r="I432" s="31" t="str">
        <x:f>IF(E432="","NO DATA",IF(E432&lt;20,"LOW FLOW","OK"))</x:f>
        <x:v>OK</x:v>
      </x:c>
      <x:c r="J432" s="31" t="str">
        <x:f>IF(OR(C432="",D432="",E432=""),"MISSING",IF(OR(C432&lt;0,C432&gt;60,D432&lt;50,D432&gt;400,E432&lt;0,E432&gt;200),"REVIEW","OK"))</x:f>
        <x:v>OK</x:v>
      </x:c>
    </x:row>
    <x:row r="433">
      <x:c r="A433" s="31" t="n">
        <x:v>432</x:v>
      </x:c>
      <x:c r="B433" s="32" t="n">
        <x:v>46310.38321759259</x:v>
      </x:c>
      <x:c r="C433" s="33" t="n">
        <x:v>23.582</x:v>
      </x:c>
      <x:c r="D433" s="33" t="n">
        <x:v>214.896</x:v>
      </x:c>
      <x:c r="E433" s="33" t="n">
        <x:v>84.947</x:v>
      </x:c>
      <x:c r="F433" s="31" t="str"/>
      <x:c r="G433" s="31" t="str">
        <x:f>IF(C433="","NO DATA",IF(C433&gt;=30,"ALERT","NORMAL"))</x:f>
        <x:v>NORMAL</x:v>
      </x:c>
      <x:c r="H433" s="31" t="str">
        <x:f>IF(C433="","MISSING",IF(C433&gt;=30,"HIGH TEMP","OK"))</x:f>
        <x:v>OK</x:v>
      </x:c>
      <x:c r="I433" s="31" t="str">
        <x:f>IF(E433="","NO DATA",IF(E433&lt;20,"LOW FLOW","OK"))</x:f>
        <x:v>OK</x:v>
      </x:c>
      <x:c r="J433" s="31" t="str">
        <x:f>IF(OR(C433="",D433="",E433=""),"MISSING",IF(OR(C433&lt;0,C433&gt;60,D433&lt;50,D433&gt;400,E433&lt;0,E433&gt;200),"REVIEW","OK"))</x:f>
        <x:v>OK</x:v>
      </x:c>
    </x:row>
    <x:row r="434">
      <x:c r="A434" s="31" t="n">
        <x:v>433</x:v>
      </x:c>
      <x:c r="B434" s="32" t="n">
        <x:v>46310.38333333333</x:v>
      </x:c>
      <x:c r="C434" s="33" t="n">
        <x:v>23.361</x:v>
      </x:c>
      <x:c r="D434" s="33" t="n">
        <x:v>213.429</x:v>
      </x:c>
      <x:c r="E434" s="33" t="n">
        <x:v>84.763</x:v>
      </x:c>
      <x:c r="F434" s="31" t="str"/>
      <x:c r="G434" s="31" t="str">
        <x:f>IF(C434="","NO DATA",IF(C434&gt;=30,"ALERT","NORMAL"))</x:f>
        <x:v>NORMAL</x:v>
      </x:c>
      <x:c r="H434" s="31" t="str">
        <x:f>IF(C434="","MISSING",IF(C434&gt;=30,"HIGH TEMP","OK"))</x:f>
        <x:v>OK</x:v>
      </x:c>
      <x:c r="I434" s="31" t="str">
        <x:f>IF(E434="","NO DATA",IF(E434&lt;20,"LOW FLOW","OK"))</x:f>
        <x:v>OK</x:v>
      </x:c>
      <x:c r="J434" s="31" t="str">
        <x:f>IF(OR(C434="",D434="",E434=""),"MISSING",IF(OR(C434&lt;0,C434&gt;60,D434&lt;50,D434&gt;400,E434&lt;0,E434&gt;200),"REVIEW","OK"))</x:f>
        <x:v>OK</x:v>
      </x:c>
    </x:row>
    <x:row r="435">
      <x:c r="A435" s="31" t="n">
        <x:v>434</x:v>
      </x:c>
      <x:c r="B435" s="32" t="n">
        <x:v>46310.38344907408</x:v>
      </x:c>
      <x:c r="C435" s="33" t="n">
        <x:v>23.39</x:v>
      </x:c>
      <x:c r="D435" s="33" t="n">
        <x:v>213.573</x:v>
      </x:c>
      <x:c r="E435" s="33" t="n">
        <x:v>83.408</x:v>
      </x:c>
      <x:c r="F435" s="31" t="str"/>
      <x:c r="G435" s="31" t="str">
        <x:f>IF(C435="","NO DATA",IF(C435&gt;=30,"ALERT","NORMAL"))</x:f>
        <x:v>NORMAL</x:v>
      </x:c>
      <x:c r="H435" s="31" t="str">
        <x:f>IF(C435="","MISSING",IF(C435&gt;=30,"HIGH TEMP","OK"))</x:f>
        <x:v>OK</x:v>
      </x:c>
      <x:c r="I435" s="31" t="str">
        <x:f>IF(E435="","NO DATA",IF(E435&lt;20,"LOW FLOW","OK"))</x:f>
        <x:v>OK</x:v>
      </x:c>
      <x:c r="J435" s="31" t="str">
        <x:f>IF(OR(C435="",D435="",E435=""),"MISSING",IF(OR(C435&lt;0,C435&gt;60,D435&lt;50,D435&gt;400,E435&lt;0,E435&gt;200),"REVIEW","OK"))</x:f>
        <x:v>OK</x:v>
      </x:c>
    </x:row>
    <x:row r="436">
      <x:c r="A436" s="31" t="n">
        <x:v>435</x:v>
      </x:c>
      <x:c r="B436" s="32" t="n">
        <x:v>46310.383564814816</x:v>
      </x:c>
      <x:c r="C436" s="33" t="n">
        <x:v>23.601</x:v>
      </x:c>
      <x:c r="D436" s="33" t="n">
        <x:v>214.776</x:v>
      </x:c>
      <x:c r="E436" s="33" t="n">
        <x:v>85.05</x:v>
      </x:c>
      <x:c r="F436" s="31" t="str"/>
      <x:c r="G436" s="31" t="str">
        <x:f>IF(C436="","NO DATA",IF(C436&gt;=30,"ALERT","NORMAL"))</x:f>
        <x:v>NORMAL</x:v>
      </x:c>
      <x:c r="H436" s="31" t="str">
        <x:f>IF(C436="","MISSING",IF(C436&gt;=30,"HIGH TEMP","OK"))</x:f>
        <x:v>OK</x:v>
      </x:c>
      <x:c r="I436" s="31" t="str">
        <x:f>IF(E436="","NO DATA",IF(E436&lt;20,"LOW FLOW","OK"))</x:f>
        <x:v>OK</x:v>
      </x:c>
      <x:c r="J436" s="31" t="str">
        <x:f>IF(OR(C436="",D436="",E436=""),"MISSING",IF(OR(C436&lt;0,C436&gt;60,D436&lt;50,D436&gt;400,E436&lt;0,E436&gt;200),"REVIEW","OK"))</x:f>
        <x:v>OK</x:v>
      </x:c>
    </x:row>
    <x:row r="437">
      <x:c r="A437" s="31" t="n">
        <x:v>436</x:v>
      </x:c>
      <x:c r="B437" s="32" t="n">
        <x:v>46310.383680555555</x:v>
      </x:c>
      <x:c r="C437" s="33" t="n">
        <x:v>23.403</x:v>
      </x:c>
      <x:c r="D437" s="33" t="n">
        <x:v>213.791</x:v>
      </x:c>
      <x:c r="E437" s="33" t="n">
        <x:v>84.179</x:v>
      </x:c>
      <x:c r="F437" s="31" t="str"/>
      <x:c r="G437" s="31" t="str">
        <x:f>IF(C437="","NO DATA",IF(C437&gt;=30,"ALERT","NORMAL"))</x:f>
        <x:v>NORMAL</x:v>
      </x:c>
      <x:c r="H437" s="31" t="str">
        <x:f>IF(C437="","MISSING",IF(C437&gt;=30,"HIGH TEMP","OK"))</x:f>
        <x:v>OK</x:v>
      </x:c>
      <x:c r="I437" s="31" t="str">
        <x:f>IF(E437="","NO DATA",IF(E437&lt;20,"LOW FLOW","OK"))</x:f>
        <x:v>OK</x:v>
      </x:c>
      <x:c r="J437" s="31" t="str">
        <x:f>IF(OR(C437="",D437="",E437=""),"MISSING",IF(OR(C437&lt;0,C437&gt;60,D437&lt;50,D437&gt;400,E437&lt;0,E437&gt;200),"REVIEW","OK"))</x:f>
        <x:v>OK</x:v>
      </x:c>
    </x:row>
    <x:row r="438">
      <x:c r="A438" s="31" t="n">
        <x:v>437</x:v>
      </x:c>
      <x:c r="B438" s="32" t="n">
        <x:v>46310.38379629629</x:v>
      </x:c>
      <x:c r="C438" s="33" t="n">
        <x:v>23.559</x:v>
      </x:c>
      <x:c r="D438" s="33" t="n">
        <x:v>213.202</x:v>
      </x:c>
      <x:c r="E438" s="33" t="n">
        <x:v>84.338</x:v>
      </x:c>
      <x:c r="F438" s="31" t="str"/>
      <x:c r="G438" s="31" t="str">
        <x:f>IF(C438="","NO DATA",IF(C438&gt;=30,"ALERT","NORMAL"))</x:f>
        <x:v>NORMAL</x:v>
      </x:c>
      <x:c r="H438" s="31" t="str">
        <x:f>IF(C438="","MISSING",IF(C438&gt;=30,"HIGH TEMP","OK"))</x:f>
        <x:v>OK</x:v>
      </x:c>
      <x:c r="I438" s="31" t="str">
        <x:f>IF(E438="","NO DATA",IF(E438&lt;20,"LOW FLOW","OK"))</x:f>
        <x:v>OK</x:v>
      </x:c>
      <x:c r="J438" s="31" t="str">
        <x:f>IF(OR(C438="",D438="",E438=""),"MISSING",IF(OR(C438&lt;0,C438&gt;60,D438&lt;50,D438&gt;400,E438&lt;0,E438&gt;200),"REVIEW","OK"))</x:f>
        <x:v>OK</x:v>
      </x:c>
    </x:row>
    <x:row r="439">
      <x:c r="A439" s="31" t="n">
        <x:v>438</x:v>
      </x:c>
      <x:c r="B439" s="32" t="n">
        <x:v>46310.38391203704</x:v>
      </x:c>
      <x:c r="C439" s="33" t="n">
        <x:v>23.446</x:v>
      </x:c>
      <x:c r="D439" s="33" t="n">
        <x:v>214.742</x:v>
      </x:c>
      <x:c r="E439" s="33" t="n">
        <x:v>84.424</x:v>
      </x:c>
      <x:c r="F439" s="31" t="str"/>
      <x:c r="G439" s="31" t="str">
        <x:f>IF(C439="","NO DATA",IF(C439&gt;=30,"ALERT","NORMAL"))</x:f>
        <x:v>NORMAL</x:v>
      </x:c>
      <x:c r="H439" s="31" t="str">
        <x:f>IF(C439="","MISSING",IF(C439&gt;=30,"HIGH TEMP","OK"))</x:f>
        <x:v>OK</x:v>
      </x:c>
      <x:c r="I439" s="31" t="str">
        <x:f>IF(E439="","NO DATA",IF(E439&lt;20,"LOW FLOW","OK"))</x:f>
        <x:v>OK</x:v>
      </x:c>
      <x:c r="J439" s="31" t="str">
        <x:f>IF(OR(C439="",D439="",E439=""),"MISSING",IF(OR(C439&lt;0,C439&gt;60,D439&lt;50,D439&gt;400,E439&lt;0,E439&gt;200),"REVIEW","OK"))</x:f>
        <x:v>OK</x:v>
      </x:c>
    </x:row>
    <x:row r="440">
      <x:c r="A440" s="31" t="n">
        <x:v>439</x:v>
      </x:c>
      <x:c r="B440" s="32" t="n">
        <x:v>46310.38402777778</x:v>
      </x:c>
      <x:c r="C440" s="33" t="n">
        <x:v>23.525</x:v>
      </x:c>
      <x:c r="D440" s="33" t="n">
        <x:v>213.428</x:v>
      </x:c>
      <x:c r="E440" s="33" t="n">
        <x:v>85.357</x:v>
      </x:c>
      <x:c r="F440" s="31" t="str"/>
      <x:c r="G440" s="31" t="str">
        <x:f>IF(C440="","NO DATA",IF(C440&gt;=30,"ALERT","NORMAL"))</x:f>
        <x:v>NORMAL</x:v>
      </x:c>
      <x:c r="H440" s="31" t="str">
        <x:f>IF(C440="","MISSING",IF(C440&gt;=30,"HIGH TEMP","OK"))</x:f>
        <x:v>OK</x:v>
      </x:c>
      <x:c r="I440" s="31" t="str">
        <x:f>IF(E440="","NO DATA",IF(E440&lt;20,"LOW FLOW","OK"))</x:f>
        <x:v>OK</x:v>
      </x:c>
      <x:c r="J440" s="31" t="str">
        <x:f>IF(OR(C440="",D440="",E440=""),"MISSING",IF(OR(C440&lt;0,C440&gt;60,D440&lt;50,D440&gt;400,E440&lt;0,E440&gt;200),"REVIEW","OK"))</x:f>
        <x:v>OK</x:v>
      </x:c>
    </x:row>
    <x:row r="441">
      <x:c r="A441" s="31" t="n">
        <x:v>440</x:v>
      </x:c>
      <x:c r="B441" s="32" t="n">
        <x:v>46310.38414351852</x:v>
      </x:c>
      <x:c r="C441" s="33" t="n">
        <x:v>23.51</x:v>
      </x:c>
      <x:c r="D441" s="33" t="n">
        <x:v>215.004</x:v>
      </x:c>
      <x:c r="E441" s="33" t="n">
        <x:v>84.363</x:v>
      </x:c>
      <x:c r="F441" s="31" t="str"/>
      <x:c r="G441" s="31" t="str">
        <x:f>IF(C441="","NO DATA",IF(C441&gt;=30,"ALERT","NORMAL"))</x:f>
        <x:v>NORMAL</x:v>
      </x:c>
      <x:c r="H441" s="31" t="str">
        <x:f>IF(C441="","MISSING",IF(C441&gt;=30,"HIGH TEMP","OK"))</x:f>
        <x:v>OK</x:v>
      </x:c>
      <x:c r="I441" s="31" t="str">
        <x:f>IF(E441="","NO DATA",IF(E441&lt;20,"LOW FLOW","OK"))</x:f>
        <x:v>OK</x:v>
      </x:c>
      <x:c r="J441" s="31" t="str">
        <x:f>IF(OR(C441="",D441="",E441=""),"MISSING",IF(OR(C441&lt;0,C441&gt;60,D441&lt;50,D441&gt;400,E441&lt;0,E441&gt;200),"REVIEW","OK"))</x:f>
        <x:v>OK</x:v>
      </x:c>
    </x:row>
    <x:row r="442">
      <x:c r="A442" s="31" t="n">
        <x:v>441</x:v>
      </x:c>
      <x:c r="B442" s="32" t="n">
        <x:v>46310.38425925926</x:v>
      </x:c>
      <x:c r="C442" s="33" t="n">
        <x:v>23.66</x:v>
      </x:c>
      <x:c r="D442" s="33" t="n">
        <x:v>215.447</x:v>
      </x:c>
      <x:c r="E442" s="33" t="n">
        <x:v>84.647</x:v>
      </x:c>
      <x:c r="F442" s="31" t="str"/>
      <x:c r="G442" s="31" t="str">
        <x:f>IF(C442="","NO DATA",IF(C442&gt;=30,"ALERT","NORMAL"))</x:f>
        <x:v>NORMAL</x:v>
      </x:c>
      <x:c r="H442" s="31" t="str">
        <x:f>IF(C442="","MISSING",IF(C442&gt;=30,"HIGH TEMP","OK"))</x:f>
        <x:v>OK</x:v>
      </x:c>
      <x:c r="I442" s="31" t="str">
        <x:f>IF(E442="","NO DATA",IF(E442&lt;20,"LOW FLOW","OK"))</x:f>
        <x:v>OK</x:v>
      </x:c>
      <x:c r="J442" s="31" t="str">
        <x:f>IF(OR(C442="",D442="",E442=""),"MISSING",IF(OR(C442&lt;0,C442&gt;60,D442&lt;50,D442&gt;400,E442&lt;0,E442&gt;200),"REVIEW","OK"))</x:f>
        <x:v>OK</x:v>
      </x:c>
    </x:row>
    <x:row r="443">
      <x:c r="A443" s="31" t="n">
        <x:v>442</x:v>
      </x:c>
      <x:c r="B443" s="32" t="n">
        <x:v>46310.384375</x:v>
      </x:c>
      <x:c r="C443" s="33" t="n">
        <x:v>23.467</x:v>
      </x:c>
      <x:c r="D443" s="33" t="n">
        <x:v>213.63</x:v>
      </x:c>
      <x:c r="E443" s="33" t="n">
        <x:v>84.858</x:v>
      </x:c>
      <x:c r="F443" s="31" t="str"/>
      <x:c r="G443" s="31" t="str">
        <x:f>IF(C443="","NO DATA",IF(C443&gt;=30,"ALERT","NORMAL"))</x:f>
        <x:v>NORMAL</x:v>
      </x:c>
      <x:c r="H443" s="31" t="str">
        <x:f>IF(C443="","MISSING",IF(C443&gt;=30,"HIGH TEMP","OK"))</x:f>
        <x:v>OK</x:v>
      </x:c>
      <x:c r="I443" s="31" t="str">
        <x:f>IF(E443="","NO DATA",IF(E443&lt;20,"LOW FLOW","OK"))</x:f>
        <x:v>OK</x:v>
      </x:c>
      <x:c r="J443" s="31" t="str">
        <x:f>IF(OR(C443="",D443="",E443=""),"MISSING",IF(OR(C443&lt;0,C443&gt;60,D443&lt;50,D443&gt;400,E443&lt;0,E443&gt;200),"REVIEW","OK"))</x:f>
        <x:v>OK</x:v>
      </x:c>
    </x:row>
    <x:row r="444">
      <x:c r="A444" s="31" t="n">
        <x:v>443</x:v>
      </x:c>
      <x:c r="B444" s="32" t="n">
        <x:v>46310.38449074074</x:v>
      </x:c>
      <x:c r="C444" s="33" t="n">
        <x:v>23.68</x:v>
      </x:c>
      <x:c r="D444" s="33" t="n">
        <x:v>214.921</x:v>
      </x:c>
      <x:c r="E444" s="33" t="n">
        <x:v>85.562</x:v>
      </x:c>
      <x:c r="F444" s="31" t="str"/>
      <x:c r="G444" s="31" t="str">
        <x:f>IF(C444="","NO DATA",IF(C444&gt;=30,"ALERT","NORMAL"))</x:f>
        <x:v>NORMAL</x:v>
      </x:c>
      <x:c r="H444" s="31" t="str">
        <x:f>IF(C444="","MISSING",IF(C444&gt;=30,"HIGH TEMP","OK"))</x:f>
        <x:v>OK</x:v>
      </x:c>
      <x:c r="I444" s="31" t="str">
        <x:f>IF(E444="","NO DATA",IF(E444&lt;20,"LOW FLOW","OK"))</x:f>
        <x:v>OK</x:v>
      </x:c>
      <x:c r="J444" s="31" t="str">
        <x:f>IF(OR(C444="",D444="",E444=""),"MISSING",IF(OR(C444&lt;0,C444&gt;60,D444&lt;50,D444&gt;400,E444&lt;0,E444&gt;200),"REVIEW","OK"))</x:f>
        <x:v>OK</x:v>
      </x:c>
    </x:row>
    <x:row r="445">
      <x:c r="A445" s="31" t="n">
        <x:v>444</x:v>
      </x:c>
      <x:c r="B445" s="32" t="n">
        <x:v>46310.38460648148</x:v>
      </x:c>
      <x:c r="C445" s="33" t="n">
        <x:v>23.439</x:v>
      </x:c>
      <x:c r="D445" s="33" t="n">
        <x:v>213.203</x:v>
      </x:c>
      <x:c r="E445" s="33" t="n">
        <x:v>85.219</x:v>
      </x:c>
      <x:c r="F445" s="31" t="str"/>
      <x:c r="G445" s="31" t="str">
        <x:f>IF(C445="","NO DATA",IF(C445&gt;=30,"ALERT","NORMAL"))</x:f>
        <x:v>NORMAL</x:v>
      </x:c>
      <x:c r="H445" s="31" t="str">
        <x:f>IF(C445="","MISSING",IF(C445&gt;=30,"HIGH TEMP","OK"))</x:f>
        <x:v>OK</x:v>
      </x:c>
      <x:c r="I445" s="31" t="str">
        <x:f>IF(E445="","NO DATA",IF(E445&lt;20,"LOW FLOW","OK"))</x:f>
        <x:v>OK</x:v>
      </x:c>
      <x:c r="J445" s="31" t="str">
        <x:f>IF(OR(C445="",D445="",E445=""),"MISSING",IF(OR(C445&lt;0,C445&gt;60,D445&lt;50,D445&gt;400,E445&lt;0,E445&gt;200),"REVIEW","OK"))</x:f>
        <x:v>OK</x:v>
      </x:c>
    </x:row>
    <x:row r="446">
      <x:c r="A446" s="31" t="n">
        <x:v>445</x:v>
      </x:c>
      <x:c r="B446" s="32" t="n">
        <x:v>46310.384722222225</x:v>
      </x:c>
      <x:c r="C446" s="33" t="n">
        <x:v>23.669</x:v>
      </x:c>
      <x:c r="D446" s="33" t="n">
        <x:v>214.095</x:v>
      </x:c>
      <x:c r="E446" s="33" t="n">
        <x:v>83.961</x:v>
      </x:c>
      <x:c r="F446" s="31" t="str"/>
      <x:c r="G446" s="31" t="str">
        <x:f>IF(C446="","NO DATA",IF(C446&gt;=30,"ALERT","NORMAL"))</x:f>
        <x:v>NORMAL</x:v>
      </x:c>
      <x:c r="H446" s="31" t="str">
        <x:f>IF(C446="","MISSING",IF(C446&gt;=30,"HIGH TEMP","OK"))</x:f>
        <x:v>OK</x:v>
      </x:c>
      <x:c r="I446" s="31" t="str">
        <x:f>IF(E446="","NO DATA",IF(E446&lt;20,"LOW FLOW","OK"))</x:f>
        <x:v>OK</x:v>
      </x:c>
      <x:c r="J446" s="31" t="str">
        <x:f>IF(OR(C446="",D446="",E446=""),"MISSING",IF(OR(C446&lt;0,C446&gt;60,D446&lt;50,D446&gt;400,E446&lt;0,E446&gt;200),"REVIEW","OK"))</x:f>
        <x:v>OK</x:v>
      </x:c>
    </x:row>
    <x:row r="447">
      <x:c r="A447" s="31" t="n">
        <x:v>446</x:v>
      </x:c>
      <x:c r="B447" s="32" t="n">
        <x:v>46310.38483796296</x:v>
      </x:c>
      <x:c r="C447" s="33" t="n">
        <x:v>23.67</x:v>
      </x:c>
      <x:c r="D447" s="33" t="n">
        <x:v>214.959</x:v>
      </x:c>
      <x:c r="E447" s="33" t="n">
        <x:v>84.428</x:v>
      </x:c>
      <x:c r="F447" s="31" t="str"/>
      <x:c r="G447" s="31" t="str">
        <x:f>IF(C447="","NO DATA",IF(C447&gt;=30,"ALERT","NORMAL"))</x:f>
        <x:v>NORMAL</x:v>
      </x:c>
      <x:c r="H447" s="31" t="str">
        <x:f>IF(C447="","MISSING",IF(C447&gt;=30,"HIGH TEMP","OK"))</x:f>
        <x:v>OK</x:v>
      </x:c>
      <x:c r="I447" s="31" t="str">
        <x:f>IF(E447="","NO DATA",IF(E447&lt;20,"LOW FLOW","OK"))</x:f>
        <x:v>OK</x:v>
      </x:c>
      <x:c r="J447" s="31" t="str">
        <x:f>IF(OR(C447="",D447="",E447=""),"MISSING",IF(OR(C447&lt;0,C447&gt;60,D447&lt;50,D447&gt;400,E447&lt;0,E447&gt;200),"REVIEW","OK"))</x:f>
        <x:v>OK</x:v>
      </x:c>
    </x:row>
    <x:row r="448">
      <x:c r="A448" s="31" t="n">
        <x:v>447</x:v>
      </x:c>
      <x:c r="B448" s="32" t="n">
        <x:v>46310.3849537037</x:v>
      </x:c>
      <x:c r="C448" s="33" t="n">
        <x:v>23.656</x:v>
      </x:c>
      <x:c r="D448" s="33" t="n">
        <x:v>213.194</x:v>
      </x:c>
      <x:c r="E448" s="33" t="n">
        <x:v>85.94</x:v>
      </x:c>
      <x:c r="F448" s="31" t="str"/>
      <x:c r="G448" s="31" t="str">
        <x:f>IF(C448="","NO DATA",IF(C448&gt;=30,"ALERT","NORMAL"))</x:f>
        <x:v>NORMAL</x:v>
      </x:c>
      <x:c r="H448" s="31" t="str">
        <x:f>IF(C448="","MISSING",IF(C448&gt;=30,"HIGH TEMP","OK"))</x:f>
        <x:v>OK</x:v>
      </x:c>
      <x:c r="I448" s="31" t="str">
        <x:f>IF(E448="","NO DATA",IF(E448&lt;20,"LOW FLOW","OK"))</x:f>
        <x:v>OK</x:v>
      </x:c>
      <x:c r="J448" s="31" t="str">
        <x:f>IF(OR(C448="",D448="",E448=""),"MISSING",IF(OR(C448&lt;0,C448&gt;60,D448&lt;50,D448&gt;400,E448&lt;0,E448&gt;200),"REVIEW","OK"))</x:f>
        <x:v>OK</x:v>
      </x:c>
    </x:row>
    <x:row r="449">
      <x:c r="A449" s="31" t="n">
        <x:v>448</x:v>
      </x:c>
      <x:c r="B449" s="32" t="n">
        <x:v>46310.38506944444</x:v>
      </x:c>
      <x:c r="C449" s="33" t="n">
        <x:v>23.482</x:v>
      </x:c>
      <x:c r="D449" s="33" t="n">
        <x:v>213.654</x:v>
      </x:c>
      <x:c r="E449" s="33" t="n">
        <x:v>86.056</x:v>
      </x:c>
      <x:c r="F449" s="31" t="str"/>
      <x:c r="G449" s="31" t="str">
        <x:f>IF(C449="","NO DATA",IF(C449&gt;=30,"ALERT","NORMAL"))</x:f>
        <x:v>NORMAL</x:v>
      </x:c>
      <x:c r="H449" s="31" t="str">
        <x:f>IF(C449="","MISSING",IF(C449&gt;=30,"HIGH TEMP","OK"))</x:f>
        <x:v>OK</x:v>
      </x:c>
      <x:c r="I449" s="31" t="str">
        <x:f>IF(E449="","NO DATA",IF(E449&lt;20,"LOW FLOW","OK"))</x:f>
        <x:v>OK</x:v>
      </x:c>
      <x:c r="J449" s="31" t="str">
        <x:f>IF(OR(C449="",D449="",E449=""),"MISSING",IF(OR(C449&lt;0,C449&gt;60,D449&lt;50,D449&gt;400,E449&lt;0,E449&gt;200),"REVIEW","OK"))</x:f>
        <x:v>OK</x:v>
      </x:c>
    </x:row>
    <x:row r="450">
      <x:c r="A450" s="31" t="n">
        <x:v>449</x:v>
      </x:c>
      <x:c r="B450" s="32" t="n">
        <x:v>46310.38518518519</x:v>
      </x:c>
      <x:c r="C450" s="33" t="n">
        <x:v>23.516</x:v>
      </x:c>
      <x:c r="D450" s="33" t="n">
        <x:v>213.657</x:v>
      </x:c>
      <x:c r="E450" s="33" t="n">
        <x:v>84.634</x:v>
      </x:c>
      <x:c r="F450" s="31" t="str"/>
      <x:c r="G450" s="31" t="str">
        <x:f>IF(C450="","NO DATA",IF(C450&gt;=30,"ALERT","NORMAL"))</x:f>
        <x:v>NORMAL</x:v>
      </x:c>
      <x:c r="H450" s="31" t="str">
        <x:f>IF(C450="","MISSING",IF(C450&gt;=30,"HIGH TEMP","OK"))</x:f>
        <x:v>OK</x:v>
      </x:c>
      <x:c r="I450" s="31" t="str">
        <x:f>IF(E450="","NO DATA",IF(E450&lt;20,"LOW FLOW","OK"))</x:f>
        <x:v>OK</x:v>
      </x:c>
      <x:c r="J450" s="31" t="str">
        <x:f>IF(OR(C450="",D450="",E450=""),"MISSING",IF(OR(C450&lt;0,C450&gt;60,D450&lt;50,D450&gt;400,E450&lt;0,E450&gt;200),"REVIEW","OK"))</x:f>
        <x:v>OK</x:v>
      </x:c>
    </x:row>
    <x:row r="451">
      <x:c r="A451" s="31" t="n">
        <x:v>450</x:v>
      </x:c>
      <x:c r="B451" s="32" t="n">
        <x:v>46310.385300925926</x:v>
      </x:c>
      <x:c r="C451" s="33" t="n">
        <x:v>23.47</x:v>
      </x:c>
      <x:c r="D451" s="33" t="n">
        <x:v>212.422</x:v>
      </x:c>
      <x:c r="E451" s="33" t="n">
        <x:v>85.005</x:v>
      </x:c>
      <x:c r="F451" s="31" t="str"/>
      <x:c r="G451" s="31" t="str">
        <x:f>IF(C451="","NO DATA",IF(C451&gt;=30,"ALERT","NORMAL"))</x:f>
        <x:v>NORMAL</x:v>
      </x:c>
      <x:c r="H451" s="31" t="str">
        <x:f>IF(C451="","MISSING",IF(C451&gt;=30,"HIGH TEMP","OK"))</x:f>
        <x:v>OK</x:v>
      </x:c>
      <x:c r="I451" s="31" t="str">
        <x:f>IF(E451="","NO DATA",IF(E451&lt;20,"LOW FLOW","OK"))</x:f>
        <x:v>OK</x:v>
      </x:c>
      <x:c r="J451" s="31" t="str">
        <x:f>IF(OR(C451="",D451="",E451=""),"MISSING",IF(OR(C451&lt;0,C451&gt;60,D451&lt;50,D451&gt;400,E451&lt;0,E451&gt;200),"REVIEW","OK"))</x:f>
        <x:v>OK</x:v>
      </x:c>
    </x:row>
    <x:row r="452">
      <x:c r="A452" s="31" t="n">
        <x:v>451</x:v>
      </x:c>
      <x:c r="B452" s="32" t="n">
        <x:v>46310.385416666664</x:v>
      </x:c>
      <x:c r="C452" s="33" t="n">
        <x:v>23.545</x:v>
      </x:c>
      <x:c r="D452" s="33" t="n">
        <x:v>215.2</x:v>
      </x:c>
      <x:c r="E452" s="33" t="n">
        <x:v>84.698</x:v>
      </x:c>
      <x:c r="F452" s="31" t="str"/>
      <x:c r="G452" s="31" t="str">
        <x:f>IF(C452="","NO DATA",IF(C452&gt;=30,"ALERT","NORMAL"))</x:f>
        <x:v>NORMAL</x:v>
      </x:c>
      <x:c r="H452" s="31" t="str">
        <x:f>IF(C452="","MISSING",IF(C452&gt;=30,"HIGH TEMP","OK"))</x:f>
        <x:v>OK</x:v>
      </x:c>
      <x:c r="I452" s="31" t="str">
        <x:f>IF(E452="","NO DATA",IF(E452&lt;20,"LOW FLOW","OK"))</x:f>
        <x:v>OK</x:v>
      </x:c>
      <x:c r="J452" s="31" t="str">
        <x:f>IF(OR(C452="",D452="",E452=""),"MISSING",IF(OR(C452&lt;0,C452&gt;60,D452&lt;50,D452&gt;400,E452&lt;0,E452&gt;200),"REVIEW","OK"))</x:f>
        <x:v>OK</x:v>
      </x:c>
    </x:row>
    <x:row r="453">
      <x:c r="A453" s="31" t="n">
        <x:v>452</x:v>
      </x:c>
      <x:c r="B453" s="32" t="n">
        <x:v>46310.38553240741</x:v>
      </x:c>
      <x:c r="C453" s="33" t="n">
        <x:v>23.496</x:v>
      </x:c>
      <x:c r="D453" s="33" t="n">
        <x:v>214.959</x:v>
      </x:c>
      <x:c r="E453" s="33" t="n">
        <x:v>85.805</x:v>
      </x:c>
      <x:c r="F453" s="31" t="str"/>
      <x:c r="G453" s="31" t="str">
        <x:f>IF(C453="","NO DATA",IF(C453&gt;=30,"ALERT","NORMAL"))</x:f>
        <x:v>NORMAL</x:v>
      </x:c>
      <x:c r="H453" s="31" t="str">
        <x:f>IF(C453="","MISSING",IF(C453&gt;=30,"HIGH TEMP","OK"))</x:f>
        <x:v>OK</x:v>
      </x:c>
      <x:c r="I453" s="31" t="str">
        <x:f>IF(E453="","NO DATA",IF(E453&lt;20,"LOW FLOW","OK"))</x:f>
        <x:v>OK</x:v>
      </x:c>
      <x:c r="J453" s="31" t="str">
        <x:f>IF(OR(C453="",D453="",E453=""),"MISSING",IF(OR(C453&lt;0,C453&gt;60,D453&lt;50,D453&gt;400,E453&lt;0,E453&gt;200),"REVIEW","OK"))</x:f>
        <x:v>OK</x:v>
      </x:c>
    </x:row>
    <x:row r="454">
      <x:c r="A454" s="31" t="n">
        <x:v>453</x:v>
      </x:c>
      <x:c r="B454" s="32" t="n">
        <x:v>46310.38564814815</x:v>
      </x:c>
      <x:c r="C454" s="33" t="n">
        <x:v>23.697</x:v>
      </x:c>
      <x:c r="D454" s="33" t="n">
        <x:v>214.487</x:v>
      </x:c>
      <x:c r="E454" s="33" t="n">
        <x:v>84.107</x:v>
      </x:c>
      <x:c r="F454" s="31" t="str"/>
      <x:c r="G454" s="31" t="str">
        <x:f>IF(C454="","NO DATA",IF(C454&gt;=30,"ALERT","NORMAL"))</x:f>
        <x:v>NORMAL</x:v>
      </x:c>
      <x:c r="H454" s="31" t="str">
        <x:f>IF(C454="","MISSING",IF(C454&gt;=30,"HIGH TEMP","OK"))</x:f>
        <x:v>OK</x:v>
      </x:c>
      <x:c r="I454" s="31" t="str">
        <x:f>IF(E454="","NO DATA",IF(E454&lt;20,"LOW FLOW","OK"))</x:f>
        <x:v>OK</x:v>
      </x:c>
      <x:c r="J454" s="31" t="str">
        <x:f>IF(OR(C454="",D454="",E454=""),"MISSING",IF(OR(C454&lt;0,C454&gt;60,D454&lt;50,D454&gt;400,E454&lt;0,E454&gt;200),"REVIEW","OK"))</x:f>
        <x:v>OK</x:v>
      </x:c>
    </x:row>
    <x:row r="455">
      <x:c r="A455" s="31" t="n">
        <x:v>454</x:v>
      </x:c>
      <x:c r="B455" s="32" t="n">
        <x:v>46310.38576388889</x:v>
      </x:c>
      <x:c r="C455" s="33" t="n">
        <x:v>23.603</x:v>
      </x:c>
      <x:c r="D455" s="33" t="n">
        <x:v>214.545</x:v>
      </x:c>
      <x:c r="E455" s="33" t="n">
        <x:v>85.427</x:v>
      </x:c>
      <x:c r="F455" s="31" t="str"/>
      <x:c r="G455" s="31" t="str">
        <x:f>IF(C455="","NO DATA",IF(C455&gt;=30,"ALERT","NORMAL"))</x:f>
        <x:v>NORMAL</x:v>
      </x:c>
      <x:c r="H455" s="31" t="str">
        <x:f>IF(C455="","MISSING",IF(C455&gt;=30,"HIGH TEMP","OK"))</x:f>
        <x:v>OK</x:v>
      </x:c>
      <x:c r="I455" s="31" t="str">
        <x:f>IF(E455="","NO DATA",IF(E455&lt;20,"LOW FLOW","OK"))</x:f>
        <x:v>OK</x:v>
      </x:c>
      <x:c r="J455" s="31" t="str">
        <x:f>IF(OR(C455="",D455="",E455=""),"MISSING",IF(OR(C455&lt;0,C455&gt;60,D455&lt;50,D455&gt;400,E455&lt;0,E455&gt;200),"REVIEW","OK"))</x:f>
        <x:v>OK</x:v>
      </x:c>
    </x:row>
    <x:row r="456">
      <x:c r="A456" s="31" t="n">
        <x:v>455</x:v>
      </x:c>
      <x:c r="B456" s="32" t="n">
        <x:v>46310.385879629626</x:v>
      </x:c>
      <x:c r="C456" s="33" t="n">
        <x:v>23.574</x:v>
      </x:c>
      <x:c r="D456" s="33" t="n">
        <x:v>214.111</x:v>
      </x:c>
      <x:c r="E456" s="33" t="n">
        <x:v>84.807</x:v>
      </x:c>
      <x:c r="F456" s="31" t="str"/>
      <x:c r="G456" s="31" t="str">
        <x:f>IF(C456="","NO DATA",IF(C456&gt;=30,"ALERT","NORMAL"))</x:f>
        <x:v>NORMAL</x:v>
      </x:c>
      <x:c r="H456" s="31" t="str">
        <x:f>IF(C456="","MISSING",IF(C456&gt;=30,"HIGH TEMP","OK"))</x:f>
        <x:v>OK</x:v>
      </x:c>
      <x:c r="I456" s="31" t="str">
        <x:f>IF(E456="","NO DATA",IF(E456&lt;20,"LOW FLOW","OK"))</x:f>
        <x:v>OK</x:v>
      </x:c>
      <x:c r="J456" s="31" t="str">
        <x:f>IF(OR(C456="",D456="",E456=""),"MISSING",IF(OR(C456&lt;0,C456&gt;60,D456&lt;50,D456&gt;400,E456&lt;0,E456&gt;200),"REVIEW","OK"))</x:f>
        <x:v>OK</x:v>
      </x:c>
    </x:row>
    <x:row r="457">
      <x:c r="A457" s="31" t="n">
        <x:v>456</x:v>
      </x:c>
      <x:c r="B457" s="32" t="n">
        <x:v>46310.38599537037</x:v>
      </x:c>
      <x:c r="C457" s="33" t="n">
        <x:v>23.549</x:v>
      </x:c>
      <x:c r="D457" s="33" t="n">
        <x:v>212.168</x:v>
      </x:c>
      <x:c r="E457" s="33" t="n">
        <x:v>84.312</x:v>
      </x:c>
      <x:c r="F457" s="31" t="str"/>
      <x:c r="G457" s="31" t="str">
        <x:f>IF(C457="","NO DATA",IF(C457&gt;=30,"ALERT","NORMAL"))</x:f>
        <x:v>NORMAL</x:v>
      </x:c>
      <x:c r="H457" s="31" t="str">
        <x:f>IF(C457="","MISSING",IF(C457&gt;=30,"HIGH TEMP","OK"))</x:f>
        <x:v>OK</x:v>
      </x:c>
      <x:c r="I457" s="31" t="str">
        <x:f>IF(E457="","NO DATA",IF(E457&lt;20,"LOW FLOW","OK"))</x:f>
        <x:v>OK</x:v>
      </x:c>
      <x:c r="J457" s="31" t="str">
        <x:f>IF(OR(C457="",D457="",E457=""),"MISSING",IF(OR(C457&lt;0,C457&gt;60,D457&lt;50,D457&gt;400,E457&lt;0,E457&gt;200),"REVIEW","OK"))</x:f>
        <x:v>OK</x:v>
      </x:c>
    </x:row>
    <x:row r="458">
      <x:c r="A458" s="31" t="n">
        <x:v>457</x:v>
      </x:c>
      <x:c r="B458" s="32" t="n">
        <x:v>46310.38611111111</x:v>
      </x:c>
      <x:c r="C458" s="33" t="n">
        <x:v>23.814</x:v>
      </x:c>
      <x:c r="D458" s="33" t="n">
        <x:v>213.509</x:v>
      </x:c>
      <x:c r="E458" s="33" t="n">
        <x:v>85.405</x:v>
      </x:c>
      <x:c r="F458" s="31" t="str"/>
      <x:c r="G458" s="31" t="str">
        <x:f>IF(C458="","NO DATA",IF(C458&gt;=30,"ALERT","NORMAL"))</x:f>
        <x:v>NORMAL</x:v>
      </x:c>
      <x:c r="H458" s="31" t="str">
        <x:f>IF(C458="","MISSING",IF(C458&gt;=30,"HIGH TEMP","OK"))</x:f>
        <x:v>OK</x:v>
      </x:c>
      <x:c r="I458" s="31" t="str">
        <x:f>IF(E458="","NO DATA",IF(E458&lt;20,"LOW FLOW","OK"))</x:f>
        <x:v>OK</x:v>
      </x:c>
      <x:c r="J458" s="31" t="str">
        <x:f>IF(OR(C458="",D458="",E458=""),"MISSING",IF(OR(C458&lt;0,C458&gt;60,D458&lt;50,D458&gt;400,E458&lt;0,E458&gt;200),"REVIEW","OK"))</x:f>
        <x:v>OK</x:v>
      </x:c>
    </x:row>
    <x:row r="459">
      <x:c r="A459" s="31" t="n">
        <x:v>458</x:v>
      </x:c>
      <x:c r="B459" s="32" t="n">
        <x:v>46310.38622685185</x:v>
      </x:c>
      <x:c r="C459" s="33" t="n">
        <x:v>23.739</x:v>
      </x:c>
      <x:c r="D459" s="33" t="n">
        <x:v>212.124</x:v>
      </x:c>
      <x:c r="E459" s="33" t="n">
        <x:v>84.307</x:v>
      </x:c>
      <x:c r="F459" s="31" t="str"/>
      <x:c r="G459" s="31" t="str">
        <x:f>IF(C459="","NO DATA",IF(C459&gt;=30,"ALERT","NORMAL"))</x:f>
        <x:v>NORMAL</x:v>
      </x:c>
      <x:c r="H459" s="31" t="str">
        <x:f>IF(C459="","MISSING",IF(C459&gt;=30,"HIGH TEMP","OK"))</x:f>
        <x:v>OK</x:v>
      </x:c>
      <x:c r="I459" s="31" t="str">
        <x:f>IF(E459="","NO DATA",IF(E459&lt;20,"LOW FLOW","OK"))</x:f>
        <x:v>OK</x:v>
      </x:c>
      <x:c r="J459" s="31" t="str">
        <x:f>IF(OR(C459="",D459="",E459=""),"MISSING",IF(OR(C459&lt;0,C459&gt;60,D459&lt;50,D459&gt;400,E459&lt;0,E459&gt;200),"REVIEW","OK"))</x:f>
        <x:v>OK</x:v>
      </x:c>
    </x:row>
    <x:row r="460">
      <x:c r="A460" s="31" t="n">
        <x:v>459</x:v>
      </x:c>
      <x:c r="B460" s="32" t="n">
        <x:v>46310.386342592596</x:v>
      </x:c>
      <x:c r="C460" s="33" t="n">
        <x:v>23.688</x:v>
      </x:c>
      <x:c r="D460" s="33" t="n">
        <x:v>211.859</x:v>
      </x:c>
      <x:c r="E460" s="33" t="n">
        <x:v>84.573</x:v>
      </x:c>
      <x:c r="F460" s="31" t="str"/>
      <x:c r="G460" s="31" t="str">
        <x:f>IF(C460="","NO DATA",IF(C460&gt;=30,"ALERT","NORMAL"))</x:f>
        <x:v>NORMAL</x:v>
      </x:c>
      <x:c r="H460" s="31" t="str">
        <x:f>IF(C460="","MISSING",IF(C460&gt;=30,"HIGH TEMP","OK"))</x:f>
        <x:v>OK</x:v>
      </x:c>
      <x:c r="I460" s="31" t="str">
        <x:f>IF(E460="","NO DATA",IF(E460&lt;20,"LOW FLOW","OK"))</x:f>
        <x:v>OK</x:v>
      </x:c>
      <x:c r="J460" s="31" t="str">
        <x:f>IF(OR(C460="",D460="",E460=""),"MISSING",IF(OR(C460&lt;0,C460&gt;60,D460&lt;50,D460&gt;400,E460&lt;0,E460&gt;200),"REVIEW","OK"))</x:f>
        <x:v>OK</x:v>
      </x:c>
    </x:row>
    <x:row r="461">
      <x:c r="A461" s="31" t="n">
        <x:v>460</x:v>
      </x:c>
      <x:c r="B461" s="32" t="n">
        <x:v>46310.386458333334</x:v>
      </x:c>
      <x:c r="C461" s="33" t="n">
        <x:v>23.853</x:v>
      </x:c>
      <x:c r="D461" s="33" t="n">
        <x:v>213.008</x:v>
      </x:c>
      <x:c r="E461" s="33" t="n">
        <x:v>83.776</x:v>
      </x:c>
      <x:c r="F461" s="31" t="str"/>
      <x:c r="G461" s="31" t="str">
        <x:f>IF(C461="","NO DATA",IF(C461&gt;=30,"ALERT","NORMAL"))</x:f>
        <x:v>NORMAL</x:v>
      </x:c>
      <x:c r="H461" s="31" t="str">
        <x:f>IF(C461="","MISSING",IF(C461&gt;=30,"HIGH TEMP","OK"))</x:f>
        <x:v>OK</x:v>
      </x:c>
      <x:c r="I461" s="31" t="str">
        <x:f>IF(E461="","NO DATA",IF(E461&lt;20,"LOW FLOW","OK"))</x:f>
        <x:v>OK</x:v>
      </x:c>
      <x:c r="J461" s="31" t="str">
        <x:f>IF(OR(C461="",D461="",E461=""),"MISSING",IF(OR(C461&lt;0,C461&gt;60,D461&lt;50,D461&gt;400,E461&lt;0,E461&gt;200),"REVIEW","OK"))</x:f>
        <x:v>OK</x:v>
      </x:c>
    </x:row>
    <x:row r="462">
      <x:c r="A462" s="31" t="n">
        <x:v>461</x:v>
      </x:c>
      <x:c r="B462" s="32" t="n">
        <x:v>46310.38657407407</x:v>
      </x:c>
      <x:c r="C462" s="33" t="n">
        <x:v>23.904</x:v>
      </x:c>
      <x:c r="D462" s="33" t="n">
        <x:v>213.346</x:v>
      </x:c>
      <x:c r="E462" s="33" t="n">
        <x:v>83.488</x:v>
      </x:c>
      <x:c r="F462" s="31" t="str"/>
      <x:c r="G462" s="31" t="str">
        <x:f>IF(C462="","NO DATA",IF(C462&gt;=30,"ALERT","NORMAL"))</x:f>
        <x:v>NORMAL</x:v>
      </x:c>
      <x:c r="H462" s="31" t="str">
        <x:f>IF(C462="","MISSING",IF(C462&gt;=30,"HIGH TEMP","OK"))</x:f>
        <x:v>OK</x:v>
      </x:c>
      <x:c r="I462" s="31" t="str">
        <x:f>IF(E462="","NO DATA",IF(E462&lt;20,"LOW FLOW","OK"))</x:f>
        <x:v>OK</x:v>
      </x:c>
      <x:c r="J462" s="31" t="str">
        <x:f>IF(OR(C462="",D462="",E462=""),"MISSING",IF(OR(C462&lt;0,C462&gt;60,D462&lt;50,D462&gt;400,E462&lt;0,E462&gt;200),"REVIEW","OK"))</x:f>
        <x:v>OK</x:v>
      </x:c>
    </x:row>
    <x:row r="463">
      <x:c r="A463" s="31" t="n">
        <x:v>462</x:v>
      </x:c>
      <x:c r="B463" s="32" t="n">
        <x:v>46310.38668981481</x:v>
      </x:c>
      <x:c r="C463" s="33" t="n">
        <x:v>23.806</x:v>
      </x:c>
      <x:c r="D463" s="33" t="n">
        <x:v>212.196</x:v>
      </x:c>
      <x:c r="E463" s="33" t="n">
        <x:v>83.727</x:v>
      </x:c>
      <x:c r="F463" s="31" t="str"/>
      <x:c r="G463" s="31" t="str">
        <x:f>IF(C463="","NO DATA",IF(C463&gt;=30,"ALERT","NORMAL"))</x:f>
        <x:v>NORMAL</x:v>
      </x:c>
      <x:c r="H463" s="31" t="str">
        <x:f>IF(C463="","MISSING",IF(C463&gt;=30,"HIGH TEMP","OK"))</x:f>
        <x:v>OK</x:v>
      </x:c>
      <x:c r="I463" s="31" t="str">
        <x:f>IF(E463="","NO DATA",IF(E463&lt;20,"LOW FLOW","OK"))</x:f>
        <x:v>OK</x:v>
      </x:c>
      <x:c r="J463" s="31" t="str">
        <x:f>IF(OR(C463="",D463="",E463=""),"MISSING",IF(OR(C463&lt;0,C463&gt;60,D463&lt;50,D463&gt;400,E463&lt;0,E463&gt;200),"REVIEW","OK"))</x:f>
        <x:v>OK</x:v>
      </x:c>
    </x:row>
    <x:row r="464">
      <x:c r="A464" s="31" t="n">
        <x:v>463</x:v>
      </x:c>
      <x:c r="B464" s="32" t="n">
        <x:v>46310.38680555556</x:v>
      </x:c>
      <x:c r="C464" s="33" t="n">
        <x:v>23.798</x:v>
      </x:c>
      <x:c r="D464" s="33" t="n">
        <x:v>213.227</x:v>
      </x:c>
      <x:c r="E464" s="33" t="n">
        <x:v>83.887</x:v>
      </x:c>
      <x:c r="F464" s="31" t="str"/>
      <x:c r="G464" s="31" t="str">
        <x:f>IF(C464="","NO DATA",IF(C464&gt;=30,"ALERT","NORMAL"))</x:f>
        <x:v>NORMAL</x:v>
      </x:c>
      <x:c r="H464" s="31" t="str">
        <x:f>IF(C464="","MISSING",IF(C464&gt;=30,"HIGH TEMP","OK"))</x:f>
        <x:v>OK</x:v>
      </x:c>
      <x:c r="I464" s="31" t="str">
        <x:f>IF(E464="","NO DATA",IF(E464&lt;20,"LOW FLOW","OK"))</x:f>
        <x:v>OK</x:v>
      </x:c>
      <x:c r="J464" s="31" t="str">
        <x:f>IF(OR(C464="",D464="",E464=""),"MISSING",IF(OR(C464&lt;0,C464&gt;60,D464&lt;50,D464&gt;400,E464&lt;0,E464&gt;200),"REVIEW","OK"))</x:f>
        <x:v>OK</x:v>
      </x:c>
    </x:row>
    <x:row r="465">
      <x:c r="A465" s="31" t="n">
        <x:v>464</x:v>
      </x:c>
      <x:c r="B465" s="32" t="n">
        <x:v>46310.386921296296</x:v>
      </x:c>
      <x:c r="C465" s="33" t="n">
        <x:v>23.813</x:v>
      </x:c>
      <x:c r="D465" s="33" t="n">
        <x:v>213.285</x:v>
      </x:c>
      <x:c r="E465" s="33" t="n">
        <x:v>83.438</x:v>
      </x:c>
      <x:c r="F465" s="31" t="str"/>
      <x:c r="G465" s="31" t="str">
        <x:f>IF(C465="","NO DATA",IF(C465&gt;=30,"ALERT","NORMAL"))</x:f>
        <x:v>NORMAL</x:v>
      </x:c>
      <x:c r="H465" s="31" t="str">
        <x:f>IF(C465="","MISSING",IF(C465&gt;=30,"HIGH TEMP","OK"))</x:f>
        <x:v>OK</x:v>
      </x:c>
      <x:c r="I465" s="31" t="str">
        <x:f>IF(E465="","NO DATA",IF(E465&lt;20,"LOW FLOW","OK"))</x:f>
        <x:v>OK</x:v>
      </x:c>
      <x:c r="J465" s="31" t="str">
        <x:f>IF(OR(C465="",D465="",E465=""),"MISSING",IF(OR(C465&lt;0,C465&gt;60,D465&lt;50,D465&gt;400,E465&lt;0,E465&gt;200),"REVIEW","OK"))</x:f>
        <x:v>OK</x:v>
      </x:c>
    </x:row>
    <x:row r="466">
      <x:c r="A466" s="31" t="n">
        <x:v>465</x:v>
      </x:c>
      <x:c r="B466" s="32" t="n">
        <x:v>46310.387037037035</x:v>
      </x:c>
      <x:c r="C466" s="33" t="n">
        <x:v>24</x:v>
      </x:c>
      <x:c r="D466" s="33" t="n">
        <x:v>211.401</x:v>
      </x:c>
      <x:c r="E466" s="33" t="n">
        <x:v>84.413</x:v>
      </x:c>
      <x:c r="F466" s="31" t="str"/>
      <x:c r="G466" s="31" t="str">
        <x:f>IF(C466="","NO DATA",IF(C466&gt;=30,"ALERT","NORMAL"))</x:f>
        <x:v>NORMAL</x:v>
      </x:c>
      <x:c r="H466" s="31" t="str">
        <x:f>IF(C466="","MISSING",IF(C466&gt;=30,"HIGH TEMP","OK"))</x:f>
        <x:v>OK</x:v>
      </x:c>
      <x:c r="I466" s="31" t="str">
        <x:f>IF(E466="","NO DATA",IF(E466&lt;20,"LOW FLOW","OK"))</x:f>
        <x:v>OK</x:v>
      </x:c>
      <x:c r="J466" s="31" t="str">
        <x:f>IF(OR(C466="",D466="",E466=""),"MISSING",IF(OR(C466&lt;0,C466&gt;60,D466&lt;50,D466&gt;400,E466&lt;0,E466&gt;200),"REVIEW","OK"))</x:f>
        <x:v>OK</x:v>
      </x:c>
    </x:row>
    <x:row r="467">
      <x:c r="A467" s="31" t="n">
        <x:v>466</x:v>
      </x:c>
      <x:c r="B467" s="32" t="n">
        <x:v>46310.38715277778</x:v>
      </x:c>
      <x:c r="C467" s="33" t="n">
        <x:v>23.879</x:v>
      </x:c>
      <x:c r="D467" s="33" t="n">
        <x:v>214.066</x:v>
      </x:c>
      <x:c r="E467" s="33" t="n">
        <x:v>84.393</x:v>
      </x:c>
      <x:c r="F467" s="31" t="str"/>
      <x:c r="G467" s="31" t="str">
        <x:f>IF(C467="","NO DATA",IF(C467&gt;=30,"ALERT","NORMAL"))</x:f>
        <x:v>NORMAL</x:v>
      </x:c>
      <x:c r="H467" s="31" t="str">
        <x:f>IF(C467="","MISSING",IF(C467&gt;=30,"HIGH TEMP","OK"))</x:f>
        <x:v>OK</x:v>
      </x:c>
      <x:c r="I467" s="31" t="str">
        <x:f>IF(E467="","NO DATA",IF(E467&lt;20,"LOW FLOW","OK"))</x:f>
        <x:v>OK</x:v>
      </x:c>
      <x:c r="J467" s="31" t="str">
        <x:f>IF(OR(C467="",D467="",E467=""),"MISSING",IF(OR(C467&lt;0,C467&gt;60,D467&lt;50,D467&gt;400,E467&lt;0,E467&gt;200),"REVIEW","OK"))</x:f>
        <x:v>OK</x:v>
      </x:c>
    </x:row>
    <x:row r="468">
      <x:c r="A468" s="31" t="n">
        <x:v>467</x:v>
      </x:c>
      <x:c r="B468" s="32" t="n">
        <x:v>46310.38726851852</x:v>
      </x:c>
      <x:c r="C468" s="33" t="n">
        <x:v>23.863</x:v>
      </x:c>
      <x:c r="D468" s="33" t="n">
        <x:v>212.412</x:v>
      </x:c>
      <x:c r="E468" s="33" t="n">
        <x:v>84.497</x:v>
      </x:c>
      <x:c r="F468" s="31" t="str"/>
      <x:c r="G468" s="31" t="str">
        <x:f>IF(C468="","NO DATA",IF(C468&gt;=30,"ALERT","NORMAL"))</x:f>
        <x:v>NORMAL</x:v>
      </x:c>
      <x:c r="H468" s="31" t="str">
        <x:f>IF(C468="","MISSING",IF(C468&gt;=30,"HIGH TEMP","OK"))</x:f>
        <x:v>OK</x:v>
      </x:c>
      <x:c r="I468" s="31" t="str">
        <x:f>IF(E468="","NO DATA",IF(E468&lt;20,"LOW FLOW","OK"))</x:f>
        <x:v>OK</x:v>
      </x:c>
      <x:c r="J468" s="31" t="str">
        <x:f>IF(OR(C468="",D468="",E468=""),"MISSING",IF(OR(C468&lt;0,C468&gt;60,D468&lt;50,D468&gt;400,E468&lt;0,E468&gt;200),"REVIEW","OK"))</x:f>
        <x:v>OK</x:v>
      </x:c>
    </x:row>
    <x:row r="469">
      <x:c r="A469" s="31" t="n">
        <x:v>468</x:v>
      </x:c>
      <x:c r="B469" s="32" t="n">
        <x:v>46310.38738425926</x:v>
      </x:c>
      <x:c r="C469" s="33" t="n">
        <x:v>24.06</x:v>
      </x:c>
      <x:c r="D469" s="33" t="n">
        <x:v>211.661</x:v>
      </x:c>
      <x:c r="E469" s="33" t="n">
        <x:v>82.914</x:v>
      </x:c>
      <x:c r="F469" s="31" t="str"/>
      <x:c r="G469" s="31" t="str">
        <x:f>IF(C469="","NO DATA",IF(C469&gt;=30,"ALERT","NORMAL"))</x:f>
        <x:v>NORMAL</x:v>
      </x:c>
      <x:c r="H469" s="31" t="str">
        <x:f>IF(C469="","MISSING",IF(C469&gt;=30,"HIGH TEMP","OK"))</x:f>
        <x:v>OK</x:v>
      </x:c>
      <x:c r="I469" s="31" t="str">
        <x:f>IF(E469="","NO DATA",IF(E469&lt;20,"LOW FLOW","OK"))</x:f>
        <x:v>OK</x:v>
      </x:c>
      <x:c r="J469" s="31" t="str">
        <x:f>IF(OR(C469="",D469="",E469=""),"MISSING",IF(OR(C469&lt;0,C469&gt;60,D469&lt;50,D469&gt;400,E469&lt;0,E469&gt;200),"REVIEW","OK"))</x:f>
        <x:v>OK</x:v>
      </x:c>
    </x:row>
    <x:row r="470">
      <x:c r="A470" s="31" t="n">
        <x:v>469</x:v>
      </x:c>
      <x:c r="B470" s="32" t="n">
        <x:v>46310.3875</x:v>
      </x:c>
      <x:c r="C470" s="33" t="n">
        <x:v>24.022</x:v>
      </x:c>
      <x:c r="D470" s="33" t="n">
        <x:v>211.83</x:v>
      </x:c>
      <x:c r="E470" s="33" t="n">
        <x:v>84.534</x:v>
      </x:c>
      <x:c r="F470" s="31" t="str"/>
      <x:c r="G470" s="31" t="str">
        <x:f>IF(C470="","NO DATA",IF(C470&gt;=30,"ALERT","NORMAL"))</x:f>
        <x:v>NORMAL</x:v>
      </x:c>
      <x:c r="H470" s="31" t="str">
        <x:f>IF(C470="","MISSING",IF(C470&gt;=30,"HIGH TEMP","OK"))</x:f>
        <x:v>OK</x:v>
      </x:c>
      <x:c r="I470" s="31" t="str">
        <x:f>IF(E470="","NO DATA",IF(E470&lt;20,"LOW FLOW","OK"))</x:f>
        <x:v>OK</x:v>
      </x:c>
      <x:c r="J470" s="31" t="str">
        <x:f>IF(OR(C470="",D470="",E470=""),"MISSING",IF(OR(C470&lt;0,C470&gt;60,D470&lt;50,D470&gt;400,E470&lt;0,E470&gt;200),"REVIEW","OK"))</x:f>
        <x:v>OK</x:v>
      </x:c>
    </x:row>
    <x:row r="471">
      <x:c r="A471" s="31" t="n">
        <x:v>470</x:v>
      </x:c>
      <x:c r="B471" s="32" t="n">
        <x:v>46310.38761574074</x:v>
      </x:c>
      <x:c r="C471" s="33" t="n">
        <x:v>23.994</x:v>
      </x:c>
      <x:c r="D471" s="33" t="n">
        <x:v>213.003</x:v>
      </x:c>
      <x:c r="E471" s="33" t="n">
        <x:v>84.434</x:v>
      </x:c>
      <x:c r="F471" s="31" t="str"/>
      <x:c r="G471" s="31" t="str">
        <x:f>IF(C471="","NO DATA",IF(C471&gt;=30,"ALERT","NORMAL"))</x:f>
        <x:v>NORMAL</x:v>
      </x:c>
      <x:c r="H471" s="31" t="str">
        <x:f>IF(C471="","MISSING",IF(C471&gt;=30,"HIGH TEMP","OK"))</x:f>
        <x:v>OK</x:v>
      </x:c>
      <x:c r="I471" s="31" t="str">
        <x:f>IF(E471="","NO DATA",IF(E471&lt;20,"LOW FLOW","OK"))</x:f>
        <x:v>OK</x:v>
      </x:c>
      <x:c r="J471" s="31" t="str">
        <x:f>IF(OR(C471="",D471="",E471=""),"MISSING",IF(OR(C471&lt;0,C471&gt;60,D471&lt;50,D471&gt;400,E471&lt;0,E471&gt;200),"REVIEW","OK"))</x:f>
        <x:v>OK</x:v>
      </x:c>
    </x:row>
    <x:row r="472">
      <x:c r="A472" s="31" t="n">
        <x:v>471</x:v>
      </x:c>
      <x:c r="B472" s="32" t="n">
        <x:v>46310.38773148148</x:v>
      </x:c>
      <x:c r="C472" s="33" t="n">
        <x:v>23.925</x:v>
      </x:c>
      <x:c r="D472" s="33" t="n">
        <x:v>210.712</x:v>
      </x:c>
      <x:c r="E472" s="33" t="n">
        <x:v>83.872</x:v>
      </x:c>
      <x:c r="F472" s="31" t="str"/>
      <x:c r="G472" s="31" t="str">
        <x:f>IF(C472="","NO DATA",IF(C472&gt;=30,"ALERT","NORMAL"))</x:f>
        <x:v>NORMAL</x:v>
      </x:c>
      <x:c r="H472" s="31" t="str">
        <x:f>IF(C472="","MISSING",IF(C472&gt;=30,"HIGH TEMP","OK"))</x:f>
        <x:v>OK</x:v>
      </x:c>
      <x:c r="I472" s="31" t="str">
        <x:f>IF(E472="","NO DATA",IF(E472&lt;20,"LOW FLOW","OK"))</x:f>
        <x:v>OK</x:v>
      </x:c>
      <x:c r="J472" s="31" t="str">
        <x:f>IF(OR(C472="",D472="",E472=""),"MISSING",IF(OR(C472&lt;0,C472&gt;60,D472&lt;50,D472&gt;400,E472&lt;0,E472&gt;200),"REVIEW","OK"))</x:f>
        <x:v>OK</x:v>
      </x:c>
    </x:row>
    <x:row r="473">
      <x:c r="A473" s="31" t="n">
        <x:v>472</x:v>
      </x:c>
      <x:c r="B473" s="32" t="n">
        <x:v>46310.38784722222</x:v>
      </x:c>
      <x:c r="C473" s="33" t="n">
        <x:v>24.089</x:v>
      </x:c>
      <x:c r="D473" s="33" t="n">
        <x:v>210.993</x:v>
      </x:c>
      <x:c r="E473" s="33" t="n">
        <x:v>84.319</x:v>
      </x:c>
      <x:c r="F473" s="31" t="str"/>
      <x:c r="G473" s="31" t="str">
        <x:f>IF(C473="","NO DATA",IF(C473&gt;=30,"ALERT","NORMAL"))</x:f>
        <x:v>NORMAL</x:v>
      </x:c>
      <x:c r="H473" s="31" t="str">
        <x:f>IF(C473="","MISSING",IF(C473&gt;=30,"HIGH TEMP","OK"))</x:f>
        <x:v>OK</x:v>
      </x:c>
      <x:c r="I473" s="31" t="str">
        <x:f>IF(E473="","NO DATA",IF(E473&lt;20,"LOW FLOW","OK"))</x:f>
        <x:v>OK</x:v>
      </x:c>
      <x:c r="J473" s="31" t="str">
        <x:f>IF(OR(C473="",D473="",E473=""),"MISSING",IF(OR(C473&lt;0,C473&gt;60,D473&lt;50,D473&gt;400,E473&lt;0,E473&gt;200),"REVIEW","OK"))</x:f>
        <x:v>OK</x:v>
      </x:c>
    </x:row>
    <x:row r="474">
      <x:c r="A474" s="31" t="n">
        <x:v>473</x:v>
      </x:c>
      <x:c r="B474" s="32" t="n">
        <x:v>46310.38796296297</x:v>
      </x:c>
      <x:c r="C474" s="33" t="n">
        <x:v>24.005</x:v>
      </x:c>
      <x:c r="D474" s="33" t="n">
        <x:v>212.441</x:v>
      </x:c>
      <x:c r="E474" s="33" t="n">
        <x:v>83.85</x:v>
      </x:c>
      <x:c r="F474" s="31" t="str"/>
      <x:c r="G474" s="31" t="str">
        <x:f>IF(C474="","NO DATA",IF(C474&gt;=30,"ALERT","NORMAL"))</x:f>
        <x:v>NORMAL</x:v>
      </x:c>
      <x:c r="H474" s="31" t="str">
        <x:f>IF(C474="","MISSING",IF(C474&gt;=30,"HIGH TEMP","OK"))</x:f>
        <x:v>OK</x:v>
      </x:c>
      <x:c r="I474" s="31" t="str">
        <x:f>IF(E474="","NO DATA",IF(E474&lt;20,"LOW FLOW","OK"))</x:f>
        <x:v>OK</x:v>
      </x:c>
      <x:c r="J474" s="31" t="str">
        <x:f>IF(OR(C474="",D474="",E474=""),"MISSING",IF(OR(C474&lt;0,C474&gt;60,D474&lt;50,D474&gt;400,E474&lt;0,E474&gt;200),"REVIEW","OK"))</x:f>
        <x:v>OK</x:v>
      </x:c>
    </x:row>
    <x:row r="475">
      <x:c r="A475" s="31" t="n">
        <x:v>474</x:v>
      </x:c>
      <x:c r="B475" s="32" t="n">
        <x:v>46310.388078703705</x:v>
      </x:c>
      <x:c r="C475" s="33" t="n">
        <x:v>24.129</x:v>
      </x:c>
      <x:c r="D475" s="33" t="n">
        <x:v>210.429</x:v>
      </x:c>
      <x:c r="E475" s="33" t="n">
        <x:v>84.078</x:v>
      </x:c>
      <x:c r="F475" s="31" t="str"/>
      <x:c r="G475" s="31" t="str">
        <x:f>IF(C475="","NO DATA",IF(C475&gt;=30,"ALERT","NORMAL"))</x:f>
        <x:v>NORMAL</x:v>
      </x:c>
      <x:c r="H475" s="31" t="str">
        <x:f>IF(C475="","MISSING",IF(C475&gt;=30,"HIGH TEMP","OK"))</x:f>
        <x:v>OK</x:v>
      </x:c>
      <x:c r="I475" s="31" t="str">
        <x:f>IF(E475="","NO DATA",IF(E475&lt;20,"LOW FLOW","OK"))</x:f>
        <x:v>OK</x:v>
      </x:c>
      <x:c r="J475" s="31" t="str">
        <x:f>IF(OR(C475="",D475="",E475=""),"MISSING",IF(OR(C475&lt;0,C475&gt;60,D475&lt;50,D475&gt;400,E475&lt;0,E475&gt;200),"REVIEW","OK"))</x:f>
        <x:v>OK</x:v>
      </x:c>
    </x:row>
    <x:row r="476">
      <x:c r="A476" s="31" t="n">
        <x:v>475</x:v>
      </x:c>
      <x:c r="B476" s="32" t="n">
        <x:v>46310.388194444444</x:v>
      </x:c>
      <x:c r="C476" s="33" t="n">
        <x:v>24.042</x:v>
      </x:c>
      <x:c r="D476" s="33" t="n">
        <x:v>211.003</x:v>
      </x:c>
      <x:c r="E476" s="33" t="n">
        <x:v>82.198</x:v>
      </x:c>
      <x:c r="F476" s="31" t="str"/>
      <x:c r="G476" s="31" t="str">
        <x:f>IF(C476="","NO DATA",IF(C476&gt;=30,"ALERT","NORMAL"))</x:f>
        <x:v>NORMAL</x:v>
      </x:c>
      <x:c r="H476" s="31" t="str">
        <x:f>IF(C476="","MISSING",IF(C476&gt;=30,"HIGH TEMP","OK"))</x:f>
        <x:v>OK</x:v>
      </x:c>
      <x:c r="I476" s="31" t="str">
        <x:f>IF(E476="","NO DATA",IF(E476&lt;20,"LOW FLOW","OK"))</x:f>
        <x:v>OK</x:v>
      </x:c>
      <x:c r="J476" s="31" t="str">
        <x:f>IF(OR(C476="",D476="",E476=""),"MISSING",IF(OR(C476&lt;0,C476&gt;60,D476&lt;50,D476&gt;400,E476&lt;0,E476&gt;200),"REVIEW","OK"))</x:f>
        <x:v>OK</x:v>
      </x:c>
    </x:row>
    <x:row r="477">
      <x:c r="A477" s="31" t="n">
        <x:v>476</x:v>
      </x:c>
      <x:c r="B477" s="32" t="n">
        <x:v>46310.38831018518</x:v>
      </x:c>
      <x:c r="C477" s="33" t="n">
        <x:v>23.985</x:v>
      </x:c>
      <x:c r="D477" s="33" t="n">
        <x:v>210.129</x:v>
      </x:c>
      <x:c r="E477" s="33" t="n">
        <x:v>84.209</x:v>
      </x:c>
      <x:c r="F477" s="31" t="str"/>
      <x:c r="G477" s="31" t="str">
        <x:f>IF(C477="","NO DATA",IF(C477&gt;=30,"ALERT","NORMAL"))</x:f>
        <x:v>NORMAL</x:v>
      </x:c>
      <x:c r="H477" s="31" t="str">
        <x:f>IF(C477="","MISSING",IF(C477&gt;=30,"HIGH TEMP","OK"))</x:f>
        <x:v>OK</x:v>
      </x:c>
      <x:c r="I477" s="31" t="str">
        <x:f>IF(E477="","NO DATA",IF(E477&lt;20,"LOW FLOW","OK"))</x:f>
        <x:v>OK</x:v>
      </x:c>
      <x:c r="J477" s="31" t="str">
        <x:f>IF(OR(C477="",D477="",E477=""),"MISSING",IF(OR(C477&lt;0,C477&gt;60,D477&lt;50,D477&gt;400,E477&lt;0,E477&gt;200),"REVIEW","OK"))</x:f>
        <x:v>OK</x:v>
      </x:c>
    </x:row>
    <x:row r="478">
      <x:c r="A478" s="31" t="n">
        <x:v>477</x:v>
      </x:c>
      <x:c r="B478" s="32" t="n">
        <x:v>46310.38842592593</x:v>
      </x:c>
      <x:c r="C478" s="33" t="n">
        <x:v>24.099</x:v>
      </x:c>
      <x:c r="D478" s="33" t="n">
        <x:v>212.851</x:v>
      </x:c>
      <x:c r="E478" s="33" t="n">
        <x:v>83.145</x:v>
      </x:c>
      <x:c r="F478" s="31" t="str"/>
      <x:c r="G478" s="31" t="str">
        <x:f>IF(C478="","NO DATA",IF(C478&gt;=30,"ALERT","NORMAL"))</x:f>
        <x:v>NORMAL</x:v>
      </x:c>
      <x:c r="H478" s="31" t="str">
        <x:f>IF(C478="","MISSING",IF(C478&gt;=30,"HIGH TEMP","OK"))</x:f>
        <x:v>OK</x:v>
      </x:c>
      <x:c r="I478" s="31" t="str">
        <x:f>IF(E478="","NO DATA",IF(E478&lt;20,"LOW FLOW","OK"))</x:f>
        <x:v>OK</x:v>
      </x:c>
      <x:c r="J478" s="31" t="str">
        <x:f>IF(OR(C478="",D478="",E478=""),"MISSING",IF(OR(C478&lt;0,C478&gt;60,D478&lt;50,D478&gt;400,E478&lt;0,E478&gt;200),"REVIEW","OK"))</x:f>
        <x:v>OK</x:v>
      </x:c>
    </x:row>
    <x:row r="479">
      <x:c r="A479" s="31" t="n">
        <x:v>478</x:v>
      </x:c>
      <x:c r="B479" s="32" t="n">
        <x:v>46310.38854166667</x:v>
      </x:c>
      <x:c r="C479" s="33" t="n">
        <x:v>24.04</x:v>
      </x:c>
      <x:c r="D479" s="33" t="n">
        <x:v>212.021</x:v>
      </x:c>
      <x:c r="E479" s="33" t="n">
        <x:v>82.172</x:v>
      </x:c>
      <x:c r="F479" s="31" t="str"/>
      <x:c r="G479" s="31" t="str">
        <x:f>IF(C479="","NO DATA",IF(C479&gt;=30,"ALERT","NORMAL"))</x:f>
        <x:v>NORMAL</x:v>
      </x:c>
      <x:c r="H479" s="31" t="str">
        <x:f>IF(C479="","MISSING",IF(C479&gt;=30,"HIGH TEMP","OK"))</x:f>
        <x:v>OK</x:v>
      </x:c>
      <x:c r="I479" s="31" t="str">
        <x:f>IF(E479="","NO DATA",IF(E479&lt;20,"LOW FLOW","OK"))</x:f>
        <x:v>OK</x:v>
      </x:c>
      <x:c r="J479" s="31" t="str">
        <x:f>IF(OR(C479="",D479="",E479=""),"MISSING",IF(OR(C479&lt;0,C479&gt;60,D479&lt;50,D479&gt;400,E479&lt;0,E479&gt;200),"REVIEW","OK"))</x:f>
        <x:v>OK</x:v>
      </x:c>
    </x:row>
    <x:row r="480">
      <x:c r="A480" s="31" t="n">
        <x:v>479</x:v>
      </x:c>
      <x:c r="B480" s="32" t="n">
        <x:v>46310.388657407406</x:v>
      </x:c>
      <x:c r="C480" s="33" t="n">
        <x:v>24.091</x:v>
      </x:c>
      <x:c r="D480" s="33" t="n">
        <x:v>211.981</x:v>
      </x:c>
      <x:c r="E480" s="33" t="n">
        <x:v>83.66</x:v>
      </x:c>
      <x:c r="F480" s="31" t="str"/>
      <x:c r="G480" s="31" t="str">
        <x:f>IF(C480="","NO DATA",IF(C480&gt;=30,"ALERT","NORMAL"))</x:f>
        <x:v>NORMAL</x:v>
      </x:c>
      <x:c r="H480" s="31" t="str">
        <x:f>IF(C480="","MISSING",IF(C480&gt;=30,"HIGH TEMP","OK"))</x:f>
        <x:v>OK</x:v>
      </x:c>
      <x:c r="I480" s="31" t="str">
        <x:f>IF(E480="","NO DATA",IF(E480&lt;20,"LOW FLOW","OK"))</x:f>
        <x:v>OK</x:v>
      </x:c>
      <x:c r="J480" s="31" t="str">
        <x:f>IF(OR(C480="",D480="",E480=""),"MISSING",IF(OR(C480&lt;0,C480&gt;60,D480&lt;50,D480&gt;400,E480&lt;0,E480&gt;200),"REVIEW","OK"))</x:f>
        <x:v>OK</x:v>
      </x:c>
    </x:row>
    <x:row r="481">
      <x:c r="A481" s="31" t="n">
        <x:v>480</x:v>
      </x:c>
      <x:c r="B481" s="32" t="n">
        <x:v>46310.388773148145</x:v>
      </x:c>
      <x:c r="C481" s="33" t="n">
        <x:v>24.102</x:v>
      </x:c>
      <x:c r="D481" s="33" t="n">
        <x:v>209.888</x:v>
      </x:c>
      <x:c r="E481" s="33" t="n">
        <x:v>82.333</x:v>
      </x:c>
      <x:c r="F481" s="31" t="str"/>
      <x:c r="G481" s="31" t="str">
        <x:f>IF(C481="","NO DATA",IF(C481&gt;=30,"ALERT","NORMAL"))</x:f>
        <x:v>NORMAL</x:v>
      </x:c>
      <x:c r="H481" s="31" t="str">
        <x:f>IF(C481="","MISSING",IF(C481&gt;=30,"HIGH TEMP","OK"))</x:f>
        <x:v>OK</x:v>
      </x:c>
      <x:c r="I481" s="31" t="str">
        <x:f>IF(E481="","NO DATA",IF(E481&lt;20,"LOW FLOW","OK"))</x:f>
        <x:v>OK</x:v>
      </x:c>
      <x:c r="J481" s="31" t="str">
        <x:f>IF(OR(C481="",D481="",E481=""),"MISSING",IF(OR(C481&lt;0,C481&gt;60,D481&lt;50,D481&gt;400,E481&lt;0,E481&gt;200),"REVIEW","OK"))</x:f>
        <x:v>OK</x:v>
      </x:c>
    </x:row>
    <x:row r="482">
      <x:c r="A482" s="31" t="n">
        <x:v>481</x:v>
      </x:c>
      <x:c r="B482" s="32" t="n">
        <x:v>46310.38888888889</x:v>
      </x:c>
      <x:c r="C482" s="33" t="n">
        <x:v>24.289</x:v>
      </x:c>
      <x:c r="D482" s="33" t="n">
        <x:v>211.619</x:v>
      </x:c>
      <x:c r="E482" s="33" t="n">
        <x:v>83.463</x:v>
      </x:c>
      <x:c r="F482" s="31" t="str"/>
      <x:c r="G482" s="31" t="str">
        <x:f>IF(C482="","NO DATA",IF(C482&gt;=30,"ALERT","NORMAL"))</x:f>
        <x:v>NORMAL</x:v>
      </x:c>
      <x:c r="H482" s="31" t="str">
        <x:f>IF(C482="","MISSING",IF(C482&gt;=30,"HIGH TEMP","OK"))</x:f>
        <x:v>OK</x:v>
      </x:c>
      <x:c r="I482" s="31" t="str">
        <x:f>IF(E482="","NO DATA",IF(E482&lt;20,"LOW FLOW","OK"))</x:f>
        <x:v>OK</x:v>
      </x:c>
      <x:c r="J482" s="31" t="str">
        <x:f>IF(OR(C482="",D482="",E482=""),"MISSING",IF(OR(C482&lt;0,C482&gt;60,D482&lt;50,D482&gt;400,E482&lt;0,E482&gt;200),"REVIEW","OK"))</x:f>
        <x:v>OK</x:v>
      </x:c>
    </x:row>
    <x:row r="483">
      <x:c r="A483" s="31" t="n">
        <x:v>482</x:v>
      </x:c>
      <x:c r="B483" s="32" t="n">
        <x:v>46310.38900462963</x:v>
      </x:c>
      <x:c r="C483" s="33" t="n">
        <x:v>24.156</x:v>
      </x:c>
      <x:c r="D483" s="33" t="n">
        <x:v>212.184</x:v>
      </x:c>
      <x:c r="E483" s="33" t="n">
        <x:v>82.372</x:v>
      </x:c>
      <x:c r="F483" s="31" t="str"/>
      <x:c r="G483" s="31" t="str">
        <x:f>IF(C483="","NO DATA",IF(C483&gt;=30,"ALERT","NORMAL"))</x:f>
        <x:v>NORMAL</x:v>
      </x:c>
      <x:c r="H483" s="31" t="str">
        <x:f>IF(C483="","MISSING",IF(C483&gt;=30,"HIGH TEMP","OK"))</x:f>
        <x:v>OK</x:v>
      </x:c>
      <x:c r="I483" s="31" t="str">
        <x:f>IF(E483="","NO DATA",IF(E483&lt;20,"LOW FLOW","OK"))</x:f>
        <x:v>OK</x:v>
      </x:c>
      <x:c r="J483" s="31" t="str">
        <x:f>IF(OR(C483="",D483="",E483=""),"MISSING",IF(OR(C483&lt;0,C483&gt;60,D483&lt;50,D483&gt;400,E483&lt;0,E483&gt;200),"REVIEW","OK"))</x:f>
        <x:v>OK</x:v>
      </x:c>
    </x:row>
    <x:row r="484">
      <x:c r="A484" s="31" t="n">
        <x:v>483</x:v>
      </x:c>
      <x:c r="B484" s="32" t="n">
        <x:v>46310.38912037037</x:v>
      </x:c>
      <x:c r="C484" s="33" t="n">
        <x:v>24.208</x:v>
      </x:c>
      <x:c r="D484" s="33" t="n">
        <x:v>211.909</x:v>
      </x:c>
      <x:c r="E484" s="33" t="n">
        <x:v>82.292</x:v>
      </x:c>
      <x:c r="F484" s="31" t="str"/>
      <x:c r="G484" s="31" t="str">
        <x:f>IF(C484="","NO DATA",IF(C484&gt;=30,"ALERT","NORMAL"))</x:f>
        <x:v>NORMAL</x:v>
      </x:c>
      <x:c r="H484" s="31" t="str">
        <x:f>IF(C484="","MISSING",IF(C484&gt;=30,"HIGH TEMP","OK"))</x:f>
        <x:v>OK</x:v>
      </x:c>
      <x:c r="I484" s="31" t="str">
        <x:f>IF(E484="","NO DATA",IF(E484&lt;20,"LOW FLOW","OK"))</x:f>
        <x:v>OK</x:v>
      </x:c>
      <x:c r="J484" s="31" t="str">
        <x:f>IF(OR(C484="",D484="",E484=""),"MISSING",IF(OR(C484&lt;0,C484&gt;60,D484&lt;50,D484&gt;400,E484&lt;0,E484&gt;200),"REVIEW","OK"))</x:f>
        <x:v>OK</x:v>
      </x:c>
    </x:row>
    <x:row r="485">
      <x:c r="A485" s="31" t="n">
        <x:v>484</x:v>
      </x:c>
      <x:c r="B485" s="32" t="n">
        <x:v>46310.389236111114</x:v>
      </x:c>
      <x:c r="C485" s="33" t="n">
        <x:v>24.317</x:v>
      </x:c>
      <x:c r="D485" s="33" t="n">
        <x:v>211.189</x:v>
      </x:c>
      <x:c r="E485" s="33" t="n">
        <x:v>81.099</x:v>
      </x:c>
      <x:c r="F485" s="31" t="str"/>
      <x:c r="G485" s="31" t="str">
        <x:f>IF(C485="","NO DATA",IF(C485&gt;=30,"ALERT","NORMAL"))</x:f>
        <x:v>NORMAL</x:v>
      </x:c>
      <x:c r="H485" s="31" t="str">
        <x:f>IF(C485="","MISSING",IF(C485&gt;=30,"HIGH TEMP","OK"))</x:f>
        <x:v>OK</x:v>
      </x:c>
      <x:c r="I485" s="31" t="str">
        <x:f>IF(E485="","NO DATA",IF(E485&lt;20,"LOW FLOW","OK"))</x:f>
        <x:v>OK</x:v>
      </x:c>
      <x:c r="J485" s="31" t="str">
        <x:f>IF(OR(C485="",D485="",E485=""),"MISSING",IF(OR(C485&lt;0,C485&gt;60,D485&lt;50,D485&gt;400,E485&lt;0,E485&gt;200),"REVIEW","OK"))</x:f>
        <x:v>OK</x:v>
      </x:c>
    </x:row>
    <x:row r="486">
      <x:c r="A486" s="31" t="n">
        <x:v>485</x:v>
      </x:c>
      <x:c r="B486" s="32" t="n">
        <x:v>46310.38935185185</x:v>
      </x:c>
      <x:c r="C486" s="33" t="n">
        <x:v>24.275</x:v>
      </x:c>
      <x:c r="D486" s="33" t="n">
        <x:v>211.347</x:v>
      </x:c>
      <x:c r="E486" s="33" t="n">
        <x:v>82.083</x:v>
      </x:c>
      <x:c r="F486" s="31" t="str"/>
      <x:c r="G486" s="31" t="str">
        <x:f>IF(C486="","NO DATA",IF(C486&gt;=30,"ALERT","NORMAL"))</x:f>
        <x:v>NORMAL</x:v>
      </x:c>
      <x:c r="H486" s="31" t="str">
        <x:f>IF(C486="","MISSING",IF(C486&gt;=30,"HIGH TEMP","OK"))</x:f>
        <x:v>OK</x:v>
      </x:c>
      <x:c r="I486" s="31" t="str">
        <x:f>IF(E486="","NO DATA",IF(E486&lt;20,"LOW FLOW","OK"))</x:f>
        <x:v>OK</x:v>
      </x:c>
      <x:c r="J486" s="31" t="str">
        <x:f>IF(OR(C486="",D486="",E486=""),"MISSING",IF(OR(C486&lt;0,C486&gt;60,D486&lt;50,D486&gt;400,E486&lt;0,E486&gt;200),"REVIEW","OK"))</x:f>
        <x:v>OK</x:v>
      </x:c>
    </x:row>
    <x:row r="487">
      <x:c r="A487" s="31" t="n">
        <x:v>486</x:v>
      </x:c>
      <x:c r="B487" s="32" t="n">
        <x:v>46310.38946759259</x:v>
      </x:c>
      <x:c r="C487" s="33" t="n">
        <x:v>24.208</x:v>
      </x:c>
      <x:c r="D487" s="33" t="n">
        <x:v>208.991</x:v>
      </x:c>
      <x:c r="E487" s="33" t="n">
        <x:v>82.223</x:v>
      </x:c>
      <x:c r="F487" s="31" t="str"/>
      <x:c r="G487" s="31" t="str">
        <x:f>IF(C487="","NO DATA",IF(C487&gt;=30,"ALERT","NORMAL"))</x:f>
        <x:v>NORMAL</x:v>
      </x:c>
      <x:c r="H487" s="31" t="str">
        <x:f>IF(C487="","MISSING",IF(C487&gt;=30,"HIGH TEMP","OK"))</x:f>
        <x:v>OK</x:v>
      </x:c>
      <x:c r="I487" s="31" t="str">
        <x:f>IF(E487="","NO DATA",IF(E487&lt;20,"LOW FLOW","OK"))</x:f>
        <x:v>OK</x:v>
      </x:c>
      <x:c r="J487" s="31" t="str">
        <x:f>IF(OR(C487="",D487="",E487=""),"MISSING",IF(OR(C487&lt;0,C487&gt;60,D487&lt;50,D487&gt;400,E487&lt;0,E487&gt;200),"REVIEW","OK"))</x:f>
        <x:v>OK</x:v>
      </x:c>
    </x:row>
    <x:row r="488">
      <x:c r="A488" s="31" t="n">
        <x:v>487</x:v>
      </x:c>
      <x:c r="B488" s="32" t="n">
        <x:v>46310.38958333333</x:v>
      </x:c>
      <x:c r="C488" s="33" t="n">
        <x:v>24.22</x:v>
      </x:c>
      <x:c r="D488" s="33" t="n">
        <x:v>210.43</x:v>
      </x:c>
      <x:c r="E488" s="33" t="n">
        <x:v>81.524</x:v>
      </x:c>
      <x:c r="F488" s="31" t="str"/>
      <x:c r="G488" s="31" t="str">
        <x:f>IF(C488="","NO DATA",IF(C488&gt;=30,"ALERT","NORMAL"))</x:f>
        <x:v>NORMAL</x:v>
      </x:c>
      <x:c r="H488" s="31" t="str">
        <x:f>IF(C488="","MISSING",IF(C488&gt;=30,"HIGH TEMP","OK"))</x:f>
        <x:v>OK</x:v>
      </x:c>
      <x:c r="I488" s="31" t="str">
        <x:f>IF(E488="","NO DATA",IF(E488&lt;20,"LOW FLOW","OK"))</x:f>
        <x:v>OK</x:v>
      </x:c>
      <x:c r="J488" s="31" t="str">
        <x:f>IF(OR(C488="",D488="",E488=""),"MISSING",IF(OR(C488&lt;0,C488&gt;60,D488&lt;50,D488&gt;400,E488&lt;0,E488&gt;200),"REVIEW","OK"))</x:f>
        <x:v>OK</x:v>
      </x:c>
    </x:row>
    <x:row r="489">
      <x:c r="A489" s="31" t="n">
        <x:v>488</x:v>
      </x:c>
      <x:c r="B489" s="32" t="n">
        <x:v>46310.389699074076</x:v>
      </x:c>
      <x:c r="C489" s="33" t="n">
        <x:v>24.352</x:v>
      </x:c>
      <x:c r="D489" s="33" t="n">
        <x:v>209.548</x:v>
      </x:c>
      <x:c r="E489" s="33" t="n">
        <x:v>80.468</x:v>
      </x:c>
      <x:c r="F489" s="31" t="str"/>
      <x:c r="G489" s="31" t="str">
        <x:f>IF(C489="","NO DATA",IF(C489&gt;=30,"ALERT","NORMAL"))</x:f>
        <x:v>NORMAL</x:v>
      </x:c>
      <x:c r="H489" s="31" t="str">
        <x:f>IF(C489="","MISSING",IF(C489&gt;=30,"HIGH TEMP","OK"))</x:f>
        <x:v>OK</x:v>
      </x:c>
      <x:c r="I489" s="31" t="str">
        <x:f>IF(E489="","NO DATA",IF(E489&lt;20,"LOW FLOW","OK"))</x:f>
        <x:v>OK</x:v>
      </x:c>
      <x:c r="J489" s="31" t="str">
        <x:f>IF(OR(C489="",D489="",E489=""),"MISSING",IF(OR(C489&lt;0,C489&gt;60,D489&lt;50,D489&gt;400,E489&lt;0,E489&gt;200),"REVIEW","OK"))</x:f>
        <x:v>OK</x:v>
      </x:c>
    </x:row>
    <x:row r="490">
      <x:c r="A490" s="31" t="n">
        <x:v>489</x:v>
      </x:c>
      <x:c r="B490" s="32" t="n">
        <x:v>46310.389814814815</x:v>
      </x:c>
      <x:c r="C490" s="33" t="n">
        <x:v>24.422</x:v>
      </x:c>
      <x:c r="D490" s="33" t="n">
        <x:v>209.422</x:v>
      </x:c>
      <x:c r="E490" s="33" t="n">
        <x:v>82.627</x:v>
      </x:c>
      <x:c r="F490" s="31" t="str"/>
      <x:c r="G490" s="31" t="str">
        <x:f>IF(C490="","NO DATA",IF(C490&gt;=30,"ALERT","NORMAL"))</x:f>
        <x:v>NORMAL</x:v>
      </x:c>
      <x:c r="H490" s="31" t="str">
        <x:f>IF(C490="","MISSING",IF(C490&gt;=30,"HIGH TEMP","OK"))</x:f>
        <x:v>OK</x:v>
      </x:c>
      <x:c r="I490" s="31" t="str">
        <x:f>IF(E490="","NO DATA",IF(E490&lt;20,"LOW FLOW","OK"))</x:f>
        <x:v>OK</x:v>
      </x:c>
      <x:c r="J490" s="31" t="str">
        <x:f>IF(OR(C490="",D490="",E490=""),"MISSING",IF(OR(C490&lt;0,C490&gt;60,D490&lt;50,D490&gt;400,E490&lt;0,E490&gt;200),"REVIEW","OK"))</x:f>
        <x:v>OK</x:v>
      </x:c>
    </x:row>
    <x:row r="491">
      <x:c r="A491" s="31" t="n">
        <x:v>490</x:v>
      </x:c>
      <x:c r="B491" s="32" t="n">
        <x:v>46310.38993055555</x:v>
      </x:c>
      <x:c r="C491" s="33" t="n">
        <x:v>24.258</x:v>
      </x:c>
      <x:c r="D491" s="33" t="n">
        <x:v>211.175</x:v>
      </x:c>
      <x:c r="E491" s="33" t="n">
        <x:v>82.373</x:v>
      </x:c>
      <x:c r="F491" s="31" t="str"/>
      <x:c r="G491" s="31" t="str">
        <x:f>IF(C491="","NO DATA",IF(C491&gt;=30,"ALERT","NORMAL"))</x:f>
        <x:v>NORMAL</x:v>
      </x:c>
      <x:c r="H491" s="31" t="str">
        <x:f>IF(C491="","MISSING",IF(C491&gt;=30,"HIGH TEMP","OK"))</x:f>
        <x:v>OK</x:v>
      </x:c>
      <x:c r="I491" s="31" t="str">
        <x:f>IF(E491="","NO DATA",IF(E491&lt;20,"LOW FLOW","OK"))</x:f>
        <x:v>OK</x:v>
      </x:c>
      <x:c r="J491" s="31" t="str">
        <x:f>IF(OR(C491="",D491="",E491=""),"MISSING",IF(OR(C491&lt;0,C491&gt;60,D491&lt;50,D491&gt;400,E491&lt;0,E491&gt;200),"REVIEW","OK"))</x:f>
        <x:v>OK</x:v>
      </x:c>
    </x:row>
    <x:row r="492">
      <x:c r="A492" s="31" t="n">
        <x:v>491</x:v>
      </x:c>
      <x:c r="B492" s="32" t="n">
        <x:v>46310.3900462963</x:v>
      </x:c>
      <x:c r="C492" s="33" t="n">
        <x:v>24.213</x:v>
      </x:c>
      <x:c r="D492" s="33" t="n">
        <x:v>210.019</x:v>
      </x:c>
      <x:c r="E492" s="33" t="n">
        <x:v>80.838</x:v>
      </x:c>
      <x:c r="F492" s="31" t="str"/>
      <x:c r="G492" s="31" t="str">
        <x:f>IF(C492="","NO DATA",IF(C492&gt;=30,"ALERT","NORMAL"))</x:f>
        <x:v>NORMAL</x:v>
      </x:c>
      <x:c r="H492" s="31" t="str">
        <x:f>IF(C492="","MISSING",IF(C492&gt;=30,"HIGH TEMP","OK"))</x:f>
        <x:v>OK</x:v>
      </x:c>
      <x:c r="I492" s="31" t="str">
        <x:f>IF(E492="","NO DATA",IF(E492&lt;20,"LOW FLOW","OK"))</x:f>
        <x:v>OK</x:v>
      </x:c>
      <x:c r="J492" s="31" t="str">
        <x:f>IF(OR(C492="",D492="",E492=""),"MISSING",IF(OR(C492&lt;0,C492&gt;60,D492&lt;50,D492&gt;400,E492&lt;0,E492&gt;200),"REVIEW","OK"))</x:f>
        <x:v>OK</x:v>
      </x:c>
    </x:row>
    <x:row r="493">
      <x:c r="A493" s="31" t="n">
        <x:v>492</x:v>
      </x:c>
      <x:c r="B493" s="32" t="n">
        <x:v>46310.39016203704</x:v>
      </x:c>
      <x:c r="C493" s="33" t="n">
        <x:v>24.446</x:v>
      </x:c>
      <x:c r="D493" s="33" t="n">
        <x:v>210.017</x:v>
      </x:c>
      <x:c r="E493" s="33" t="n">
        <x:v>82.123</x:v>
      </x:c>
      <x:c r="F493" s="31" t="str"/>
      <x:c r="G493" s="31" t="str">
        <x:f>IF(C493="","NO DATA",IF(C493&gt;=30,"ALERT","NORMAL"))</x:f>
        <x:v>NORMAL</x:v>
      </x:c>
      <x:c r="H493" s="31" t="str">
        <x:f>IF(C493="","MISSING",IF(C493&gt;=30,"HIGH TEMP","OK"))</x:f>
        <x:v>OK</x:v>
      </x:c>
      <x:c r="I493" s="31" t="str">
        <x:f>IF(E493="","NO DATA",IF(E493&lt;20,"LOW FLOW","OK"))</x:f>
        <x:v>OK</x:v>
      </x:c>
      <x:c r="J493" s="31" t="str">
        <x:f>IF(OR(C493="",D493="",E493=""),"MISSING",IF(OR(C493&lt;0,C493&gt;60,D493&lt;50,D493&gt;400,E493&lt;0,E493&gt;200),"REVIEW","OK"))</x:f>
        <x:v>OK</x:v>
      </x:c>
    </x:row>
    <x:row r="494">
      <x:c r="A494" s="31" t="n">
        <x:v>493</x:v>
      </x:c>
      <x:c r="B494" s="32" t="n">
        <x:v>46310.39027777778</x:v>
      </x:c>
      <x:c r="C494" s="33" t="n">
        <x:v>24.262</x:v>
      </x:c>
      <x:c r="D494" s="33" t="n">
        <x:v>209.674</x:v>
      </x:c>
      <x:c r="E494" s="33" t="n">
        <x:v>81.583</x:v>
      </x:c>
      <x:c r="F494" s="31" t="str"/>
      <x:c r="G494" s="31" t="str">
        <x:f>IF(C494="","NO DATA",IF(C494&gt;=30,"ALERT","NORMAL"))</x:f>
        <x:v>NORMAL</x:v>
      </x:c>
      <x:c r="H494" s="31" t="str">
        <x:f>IF(C494="","MISSING",IF(C494&gt;=30,"HIGH TEMP","OK"))</x:f>
        <x:v>OK</x:v>
      </x:c>
      <x:c r="I494" s="31" t="str">
        <x:f>IF(E494="","NO DATA",IF(E494&lt;20,"LOW FLOW","OK"))</x:f>
        <x:v>OK</x:v>
      </x:c>
      <x:c r="J494" s="31" t="str">
        <x:f>IF(OR(C494="",D494="",E494=""),"MISSING",IF(OR(C494&lt;0,C494&gt;60,D494&lt;50,D494&gt;400,E494&lt;0,E494&gt;200),"REVIEW","OK"))</x:f>
        <x:v>OK</x:v>
      </x:c>
    </x:row>
    <x:row r="495">
      <x:c r="A495" s="31" t="n">
        <x:v>494</x:v>
      </x:c>
      <x:c r="B495" s="32" t="n">
        <x:v>46310.390393518515</x:v>
      </x:c>
      <x:c r="C495" s="33" t="n">
        <x:v>24.243</x:v>
      </x:c>
      <x:c r="D495" s="33" t="n">
        <x:v>207.926</x:v>
      </x:c>
      <x:c r="E495" s="33" t="n">
        <x:v>81.451</x:v>
      </x:c>
      <x:c r="F495" s="31" t="str"/>
      <x:c r="G495" s="31" t="str">
        <x:f>IF(C495="","NO DATA",IF(C495&gt;=30,"ALERT","NORMAL"))</x:f>
        <x:v>NORMAL</x:v>
      </x:c>
      <x:c r="H495" s="31" t="str">
        <x:f>IF(C495="","MISSING",IF(C495&gt;=30,"HIGH TEMP","OK"))</x:f>
        <x:v>OK</x:v>
      </x:c>
      <x:c r="I495" s="31" t="str">
        <x:f>IF(E495="","NO DATA",IF(E495&lt;20,"LOW FLOW","OK"))</x:f>
        <x:v>OK</x:v>
      </x:c>
      <x:c r="J495" s="31" t="str">
        <x:f>IF(OR(C495="",D495="",E495=""),"MISSING",IF(OR(C495&lt;0,C495&gt;60,D495&lt;50,D495&gt;400,E495&lt;0,E495&gt;200),"REVIEW","OK"))</x:f>
        <x:v>OK</x:v>
      </x:c>
    </x:row>
    <x:row r="496">
      <x:c r="A496" s="31" t="n">
        <x:v>495</x:v>
      </x:c>
      <x:c r="B496" s="32" t="n">
        <x:v>46310.39050925926</x:v>
      </x:c>
      <x:c r="C496" s="33" t="n">
        <x:v>24.355</x:v>
      </x:c>
      <x:c r="D496" s="33" t="n">
        <x:v>208.746</x:v>
      </x:c>
      <x:c r="E496" s="33" t="n">
        <x:v>80.82</x:v>
      </x:c>
      <x:c r="F496" s="31" t="str"/>
      <x:c r="G496" s="31" t="str">
        <x:f>IF(C496="","NO DATA",IF(C496&gt;=30,"ALERT","NORMAL"))</x:f>
        <x:v>NORMAL</x:v>
      </x:c>
      <x:c r="H496" s="31" t="str">
        <x:f>IF(C496="","MISSING",IF(C496&gt;=30,"HIGH TEMP","OK"))</x:f>
        <x:v>OK</x:v>
      </x:c>
      <x:c r="I496" s="31" t="str">
        <x:f>IF(E496="","NO DATA",IF(E496&lt;20,"LOW FLOW","OK"))</x:f>
        <x:v>OK</x:v>
      </x:c>
      <x:c r="J496" s="31" t="str">
        <x:f>IF(OR(C496="",D496="",E496=""),"MISSING",IF(OR(C496&lt;0,C496&gt;60,D496&lt;50,D496&gt;400,E496&lt;0,E496&gt;200),"REVIEW","OK"))</x:f>
        <x:v>OK</x:v>
      </x:c>
    </x:row>
    <x:row r="497">
      <x:c r="A497" s="31" t="n">
        <x:v>496</x:v>
      </x:c>
      <x:c r="B497" s="32" t="n">
        <x:v>46310.390625</x:v>
      </x:c>
      <x:c r="C497" s="33" t="n">
        <x:v>24.438</x:v>
      </x:c>
      <x:c r="D497" s="33" t="n">
        <x:v>209.51</x:v>
      </x:c>
      <x:c r="E497" s="33" t="n">
        <x:v>81.616</x:v>
      </x:c>
      <x:c r="F497" s="31" t="str"/>
      <x:c r="G497" s="31" t="str">
        <x:f>IF(C497="","NO DATA",IF(C497&gt;=30,"ALERT","NORMAL"))</x:f>
        <x:v>NORMAL</x:v>
      </x:c>
      <x:c r="H497" s="31" t="str">
        <x:f>IF(C497="","MISSING",IF(C497&gt;=30,"HIGH TEMP","OK"))</x:f>
        <x:v>OK</x:v>
      </x:c>
      <x:c r="I497" s="31" t="str">
        <x:f>IF(E497="","NO DATA",IF(E497&lt;20,"LOW FLOW","OK"))</x:f>
        <x:v>OK</x:v>
      </x:c>
      <x:c r="J497" s="31" t="str">
        <x:f>IF(OR(C497="",D497="",E497=""),"MISSING",IF(OR(C497&lt;0,C497&gt;60,D497&lt;50,D497&gt;400,E497&lt;0,E497&gt;200),"REVIEW","OK"))</x:f>
        <x:v>OK</x:v>
      </x:c>
    </x:row>
    <x:row r="498">
      <x:c r="A498" s="31" t="n">
        <x:v>497</x:v>
      </x:c>
      <x:c r="B498" s="32" t="n">
        <x:v>46310.39074074074</x:v>
      </x:c>
      <x:c r="C498" s="33" t="n">
        <x:v>24.38</x:v>
      </x:c>
      <x:c r="D498" s="33" t="n">
        <x:v>209.638</x:v>
      </x:c>
      <x:c r="E498" s="33" t="n">
        <x:v>80.598</x:v>
      </x:c>
      <x:c r="F498" s="31" t="str"/>
      <x:c r="G498" s="31" t="str">
        <x:f>IF(C498="","NO DATA",IF(C498&gt;=30,"ALERT","NORMAL"))</x:f>
        <x:v>NORMAL</x:v>
      </x:c>
      <x:c r="H498" s="31" t="str">
        <x:f>IF(C498="","MISSING",IF(C498&gt;=30,"HIGH TEMP","OK"))</x:f>
        <x:v>OK</x:v>
      </x:c>
      <x:c r="I498" s="31" t="str">
        <x:f>IF(E498="","NO DATA",IF(E498&lt;20,"LOW FLOW","OK"))</x:f>
        <x:v>OK</x:v>
      </x:c>
      <x:c r="J498" s="31" t="str">
        <x:f>IF(OR(C498="",D498="",E498=""),"MISSING",IF(OR(C498&lt;0,C498&gt;60,D498&lt;50,D498&gt;400,E498&lt;0,E498&gt;200),"REVIEW","OK"))</x:f>
        <x:v>OK</x:v>
      </x:c>
    </x:row>
    <x:row r="499">
      <x:c r="A499" s="31" t="n">
        <x:v>498</x:v>
      </x:c>
      <x:c r="B499" s="32" t="n">
        <x:v>46310.390856481485</x:v>
      </x:c>
      <x:c r="C499" s="33" t="n">
        <x:v>24.438</x:v>
      </x:c>
      <x:c r="D499" s="33" t="n">
        <x:v>208.42</x:v>
      </x:c>
      <x:c r="E499" s="33" t="n">
        <x:v>80.666</x:v>
      </x:c>
      <x:c r="F499" s="31" t="str"/>
      <x:c r="G499" s="31" t="str">
        <x:f>IF(C499="","NO DATA",IF(C499&gt;=30,"ALERT","NORMAL"))</x:f>
        <x:v>NORMAL</x:v>
      </x:c>
      <x:c r="H499" s="31" t="str">
        <x:f>IF(C499="","MISSING",IF(C499&gt;=30,"HIGH TEMP","OK"))</x:f>
        <x:v>OK</x:v>
      </x:c>
      <x:c r="I499" s="31" t="str">
        <x:f>IF(E499="","NO DATA",IF(E499&lt;20,"LOW FLOW","OK"))</x:f>
        <x:v>OK</x:v>
      </x:c>
      <x:c r="J499" s="31" t="str">
        <x:f>IF(OR(C499="",D499="",E499=""),"MISSING",IF(OR(C499&lt;0,C499&gt;60,D499&lt;50,D499&gt;400,E499&lt;0,E499&gt;200),"REVIEW","OK"))</x:f>
        <x:v>OK</x:v>
      </x:c>
    </x:row>
    <x:row r="500">
      <x:c r="A500" s="31" t="n">
        <x:v>499</x:v>
      </x:c>
      <x:c r="B500" s="32" t="n">
        <x:v>46310.39097222222</x:v>
      </x:c>
      <x:c r="C500" s="33" t="n">
        <x:v>24.364</x:v>
      </x:c>
      <x:c r="D500" s="33" t="n">
        <x:v>207.444</x:v>
      </x:c>
      <x:c r="E500" s="33" t="n">
        <x:v>80.762</x:v>
      </x:c>
      <x:c r="F500" s="31" t="str"/>
      <x:c r="G500" s="31" t="str">
        <x:f>IF(C500="","NO DATA",IF(C500&gt;=30,"ALERT","NORMAL"))</x:f>
        <x:v>NORMAL</x:v>
      </x:c>
      <x:c r="H500" s="31" t="str">
        <x:f>IF(C500="","MISSING",IF(C500&gt;=30,"HIGH TEMP","OK"))</x:f>
        <x:v>OK</x:v>
      </x:c>
      <x:c r="I500" s="31" t="str">
        <x:f>IF(E500="","NO DATA",IF(E500&lt;20,"LOW FLOW","OK"))</x:f>
        <x:v>OK</x:v>
      </x:c>
      <x:c r="J500" s="31" t="str">
        <x:f>IF(OR(C500="",D500="",E500=""),"MISSING",IF(OR(C500&lt;0,C500&gt;60,D500&lt;50,D500&gt;400,E500&lt;0,E500&gt;200),"REVIEW","OK"))</x:f>
        <x:v>OK</x:v>
      </x:c>
    </x:row>
    <x:row r="501">
      <x:c r="A501" s="31" t="n">
        <x:v>500</x:v>
      </x:c>
      <x:c r="B501" s="32" t="n">
        <x:v>46310.39108796296</x:v>
      </x:c>
      <x:c r="C501" s="33" t="n">
        <x:v>24.448</x:v>
      </x:c>
      <x:c r="D501" s="33" t="n">
        <x:v>208.145</x:v>
      </x:c>
      <x:c r="E501" s="33" t="n">
        <x:v>80.237</x:v>
      </x:c>
      <x:c r="F501" s="31" t="str"/>
      <x:c r="G501" s="31" t="str">
        <x:f>IF(C501="","NO DATA",IF(C501&gt;=30,"ALERT","NORMAL"))</x:f>
        <x:v>NORMAL</x:v>
      </x:c>
      <x:c r="H501" s="31" t="str">
        <x:f>IF(C501="","MISSING",IF(C501&gt;=30,"HIGH TEMP","OK"))</x:f>
        <x:v>OK</x:v>
      </x:c>
      <x:c r="I501" s="31" t="str">
        <x:f>IF(E501="","NO DATA",IF(E501&lt;20,"LOW FLOW","OK"))</x:f>
        <x:v>OK</x:v>
      </x:c>
      <x:c r="J501" s="31" t="str">
        <x:f>IF(OR(C501="",D501="",E501=""),"MISSING",IF(OR(C501&lt;0,C501&gt;60,D501&lt;50,D501&gt;400,E501&lt;0,E501&gt;200),"REVIEW","OK"))</x:f>
        <x:v>OK</x:v>
      </x:c>
    </x:row>
    <x:row r="502">
      <x:c r="A502" s="31" t="n">
        <x:v>501</x:v>
      </x:c>
      <x:c r="B502" s="32" t="n">
        <x:v>46310.3912037037</x:v>
      </x:c>
      <x:c r="C502" s="33" t="n">
        <x:v>24.385</x:v>
      </x:c>
      <x:c r="D502" s="33" t="n">
        <x:v>483.985</x:v>
      </x:c>
      <x:c r="E502" s="33" t="n">
        <x:v>79.857</x:v>
      </x:c>
      <x:c r="F502" s="31" t="str">
        <x:v>Pressure sensor suspect</x:v>
      </x:c>
      <x:c r="G502" s="31" t="str">
        <x:f>IF(C502="","NO DATA",IF(C502&gt;=30,"ALERT","NORMAL"))</x:f>
        <x:v>NORMAL</x:v>
      </x:c>
      <x:c r="H502" s="31" t="str">
        <x:f>IF(C502="","MISSING",IF(C502&gt;=30,"HIGH TEMP","OK"))</x:f>
        <x:v>OK</x:v>
      </x:c>
      <x:c r="I502" s="31" t="str">
        <x:f>IF(E502="","NO DATA",IF(E502&lt;20,"LOW FLOW","OK"))</x:f>
        <x:v>OK</x:v>
      </x:c>
      <x:c r="J502" s="31" t="str">
        <x:f>IF(OR(C502="",D502="",E502=""),"MISSING",IF(OR(C502&lt;0,C502&gt;60,D502&lt;50,D502&gt;400,E502&lt;0,E502&gt;200),"REVIEW","OK"))</x:f>
        <x:v>REVIEW</x:v>
      </x:c>
    </x:row>
    <x:row r="503">
      <x:c r="A503" s="31" t="n">
        <x:v>502</x:v>
      </x:c>
      <x:c r="B503" s="32" t="n">
        <x:v>46310.39131944445</x:v>
      </x:c>
      <x:c r="C503" s="33" t="n">
        <x:v>24.4</x:v>
      </x:c>
      <x:c r="D503" s="33" t="n">
        <x:v>480.491</x:v>
      </x:c>
      <x:c r="E503" s="33" t="n">
        <x:v>79.866</x:v>
      </x:c>
      <x:c r="F503" s="31" t="str">
        <x:v>Pressure sensor suspect</x:v>
      </x:c>
      <x:c r="G503" s="31" t="str">
        <x:f>IF(C503="","NO DATA",IF(C503&gt;=30,"ALERT","NORMAL"))</x:f>
        <x:v>NORMAL</x:v>
      </x:c>
      <x:c r="H503" s="31" t="str">
        <x:f>IF(C503="","MISSING",IF(C503&gt;=30,"HIGH TEMP","OK"))</x:f>
        <x:v>OK</x:v>
      </x:c>
      <x:c r="I503" s="31" t="str">
        <x:f>IF(E503="","NO DATA",IF(E503&lt;20,"LOW FLOW","OK"))</x:f>
        <x:v>OK</x:v>
      </x:c>
      <x:c r="J503" s="31" t="str">
        <x:f>IF(OR(C503="",D503="",E503=""),"MISSING",IF(OR(C503&lt;0,C503&gt;60,D503&lt;50,D503&gt;400,E503&lt;0,E503&gt;200),"REVIEW","OK"))</x:f>
        <x:v>REVIEW</x:v>
      </x:c>
    </x:row>
    <x:row r="504">
      <x:c r="A504" s="31" t="n">
        <x:v>503</x:v>
      </x:c>
      <x:c r="B504" s="32" t="n">
        <x:v>46310.391435185185</x:v>
      </x:c>
      <x:c r="C504" s="33" t="n">
        <x:v>24.577</x:v>
      </x:c>
      <x:c r="D504" s="33" t="n">
        <x:v>481.78</x:v>
      </x:c>
      <x:c r="E504" s="33" t="n">
        <x:v>80.749</x:v>
      </x:c>
      <x:c r="F504" s="31" t="str">
        <x:v>Pressure sensor suspect</x:v>
      </x:c>
      <x:c r="G504" s="31" t="str">
        <x:f>IF(C504="","NO DATA",IF(C504&gt;=30,"ALERT","NORMAL"))</x:f>
        <x:v>NORMAL</x:v>
      </x:c>
      <x:c r="H504" s="31" t="str">
        <x:f>IF(C504="","MISSING",IF(C504&gt;=30,"HIGH TEMP","OK"))</x:f>
        <x:v>OK</x:v>
      </x:c>
      <x:c r="I504" s="31" t="str">
        <x:f>IF(E504="","NO DATA",IF(E504&lt;20,"LOW FLOW","OK"))</x:f>
        <x:v>OK</x:v>
      </x:c>
      <x:c r="J504" s="31" t="str">
        <x:f>IF(OR(C504="",D504="",E504=""),"MISSING",IF(OR(C504&lt;0,C504&gt;60,D504&lt;50,D504&gt;400,E504&lt;0,E504&gt;200),"REVIEW","OK"))</x:f>
        <x:v>REVIEW</x:v>
      </x:c>
    </x:row>
    <x:row r="505">
      <x:c r="A505" s="31" t="n">
        <x:v>504</x:v>
      </x:c>
      <x:c r="B505" s="32" t="n">
        <x:v>46310.391550925924</x:v>
      </x:c>
      <x:c r="C505" s="33" t="n">
        <x:v>24.354</x:v>
      </x:c>
      <x:c r="D505" s="33" t="n">
        <x:v>481.278</x:v>
      </x:c>
      <x:c r="E505" s="33" t="n">
        <x:v>80.531</x:v>
      </x:c>
      <x:c r="F505" s="31" t="str">
        <x:v>Pressure sensor suspect</x:v>
      </x:c>
      <x:c r="G505" s="31" t="str">
        <x:f>IF(C505="","NO DATA",IF(C505&gt;=30,"ALERT","NORMAL"))</x:f>
        <x:v>NORMAL</x:v>
      </x:c>
      <x:c r="H505" s="31" t="str">
        <x:f>IF(C505="","MISSING",IF(C505&gt;=30,"HIGH TEMP","OK"))</x:f>
        <x:v>OK</x:v>
      </x:c>
      <x:c r="I505" s="31" t="str">
        <x:f>IF(E505="","NO DATA",IF(E505&lt;20,"LOW FLOW","OK"))</x:f>
        <x:v>OK</x:v>
      </x:c>
      <x:c r="J505" s="31" t="str">
        <x:f>IF(OR(C505="",D505="",E505=""),"MISSING",IF(OR(C505&lt;0,C505&gt;60,D505&lt;50,D505&gt;400,E505&lt;0,E505&gt;200),"REVIEW","OK"))</x:f>
        <x:v>REVIEW</x:v>
      </x:c>
    </x:row>
    <x:row r="506">
      <x:c r="A506" s="31" t="n">
        <x:v>505</x:v>
      </x:c>
      <x:c r="B506" s="32" t="n">
        <x:v>46310.39166666667</x:v>
      </x:c>
      <x:c r="C506" s="33" t="n">
        <x:v>24.437</x:v>
      </x:c>
      <x:c r="D506" s="33" t="n">
        <x:v>483.565</x:v>
      </x:c>
      <x:c r="E506" s="33" t="n">
        <x:v>79.718</x:v>
      </x:c>
      <x:c r="F506" s="31" t="str">
        <x:v>Pressure sensor suspect</x:v>
      </x:c>
      <x:c r="G506" s="31" t="str">
        <x:f>IF(C506="","NO DATA",IF(C506&gt;=30,"ALERT","NORMAL"))</x:f>
        <x:v>NORMAL</x:v>
      </x:c>
      <x:c r="H506" s="31" t="str">
        <x:f>IF(C506="","MISSING",IF(C506&gt;=30,"HIGH TEMP","OK"))</x:f>
        <x:v>OK</x:v>
      </x:c>
      <x:c r="I506" s="31" t="str">
        <x:f>IF(E506="","NO DATA",IF(E506&lt;20,"LOW FLOW","OK"))</x:f>
        <x:v>OK</x:v>
      </x:c>
      <x:c r="J506" s="31" t="str">
        <x:f>IF(OR(C506="",D506="",E506=""),"MISSING",IF(OR(C506&lt;0,C506&gt;60,D506&lt;50,D506&gt;400,E506&lt;0,E506&gt;200),"REVIEW","OK"))</x:f>
        <x:v>REVIEW</x:v>
      </x:c>
    </x:row>
    <x:row r="507">
      <x:c r="A507" s="31" t="n">
        <x:v>506</x:v>
      </x:c>
      <x:c r="B507" s="32" t="n">
        <x:v>46310.39178240741</x:v>
      </x:c>
      <x:c r="C507" s="33" t="n">
        <x:v>24.593</x:v>
      </x:c>
      <x:c r="D507" s="33" t="n">
        <x:v>208.435</x:v>
      </x:c>
      <x:c r="E507" s="33" t="n">
        <x:v>80.562</x:v>
      </x:c>
      <x:c r="F507" s="31" t="str"/>
      <x:c r="G507" s="31" t="str">
        <x:f>IF(C507="","NO DATA",IF(C507&gt;=30,"ALERT","NORMAL"))</x:f>
        <x:v>NORMAL</x:v>
      </x:c>
      <x:c r="H507" s="31" t="str">
        <x:f>IF(C507="","MISSING",IF(C507&gt;=30,"HIGH TEMP","OK"))</x:f>
        <x:v>OK</x:v>
      </x:c>
      <x:c r="I507" s="31" t="str">
        <x:f>IF(E507="","NO DATA",IF(E507&lt;20,"LOW FLOW","OK"))</x:f>
        <x:v>OK</x:v>
      </x:c>
      <x:c r="J507" s="31" t="str">
        <x:f>IF(OR(C507="",D507="",E507=""),"MISSING",IF(OR(C507&lt;0,C507&gt;60,D507&lt;50,D507&gt;400,E507&lt;0,E507&gt;200),"REVIEW","OK"))</x:f>
        <x:v>OK</x:v>
      </x:c>
    </x:row>
    <x:row r="508">
      <x:c r="A508" s="31" t="n">
        <x:v>507</x:v>
      </x:c>
      <x:c r="B508" s="32" t="n">
        <x:v>46310.39189814815</x:v>
      </x:c>
      <x:c r="C508" s="33" t="n">
        <x:v>24.533</x:v>
      </x:c>
      <x:c r="D508" s="33" t="n">
        <x:v>208.575</x:v>
      </x:c>
      <x:c r="E508" s="33" t="n">
        <x:v>79.482</x:v>
      </x:c>
      <x:c r="F508" s="31" t="str"/>
      <x:c r="G508" s="31" t="str">
        <x:f>IF(C508="","NO DATA",IF(C508&gt;=30,"ALERT","NORMAL"))</x:f>
        <x:v>NORMAL</x:v>
      </x:c>
      <x:c r="H508" s="31" t="str">
        <x:f>IF(C508="","MISSING",IF(C508&gt;=30,"HIGH TEMP","OK"))</x:f>
        <x:v>OK</x:v>
      </x:c>
      <x:c r="I508" s="31" t="str">
        <x:f>IF(E508="","NO DATA",IF(E508&lt;20,"LOW FLOW","OK"))</x:f>
        <x:v>OK</x:v>
      </x:c>
      <x:c r="J508" s="31" t="str">
        <x:f>IF(OR(C508="",D508="",E508=""),"MISSING",IF(OR(C508&lt;0,C508&gt;60,D508&lt;50,D508&gt;400,E508&lt;0,E508&gt;200),"REVIEW","OK"))</x:f>
        <x:v>OK</x:v>
      </x:c>
    </x:row>
    <x:row r="509">
      <x:c r="A509" s="31" t="n">
        <x:v>508</x:v>
      </x:c>
      <x:c r="B509" s="32" t="n">
        <x:v>46310.392013888886</x:v>
      </x:c>
      <x:c r="C509" s="33" t="n">
        <x:v>24.381</x:v>
      </x:c>
      <x:c r="D509" s="33" t="n">
        <x:v>206.692</x:v>
      </x:c>
      <x:c r="E509" s="33" t="n">
        <x:v>78.525</x:v>
      </x:c>
      <x:c r="F509" s="31" t="str"/>
      <x:c r="G509" s="31" t="str">
        <x:f>IF(C509="","NO DATA",IF(C509&gt;=30,"ALERT","NORMAL"))</x:f>
        <x:v>NORMAL</x:v>
      </x:c>
      <x:c r="H509" s="31" t="str">
        <x:f>IF(C509="","MISSING",IF(C509&gt;=30,"HIGH TEMP","OK"))</x:f>
        <x:v>OK</x:v>
      </x:c>
      <x:c r="I509" s="31" t="str">
        <x:f>IF(E509="","NO DATA",IF(E509&lt;20,"LOW FLOW","OK"))</x:f>
        <x:v>OK</x:v>
      </x:c>
      <x:c r="J509" s="31" t="str">
        <x:f>IF(OR(C509="",D509="",E509=""),"MISSING",IF(OR(C509&lt;0,C509&gt;60,D509&lt;50,D509&gt;400,E509&lt;0,E509&gt;200),"REVIEW","OK"))</x:f>
        <x:v>OK</x:v>
      </x:c>
    </x:row>
    <x:row r="510">
      <x:c r="A510" s="31" t="n">
        <x:v>509</x:v>
      </x:c>
      <x:c r="B510" s="32" t="n">
        <x:v>46310.39212962963</x:v>
      </x:c>
      <x:c r="C510" s="33" t="n">
        <x:v>24.585</x:v>
      </x:c>
      <x:c r="D510" s="33" t="n">
        <x:v>206.066</x:v>
      </x:c>
      <x:c r="E510" s="33" t="n">
        <x:v>79.456</x:v>
      </x:c>
      <x:c r="F510" s="31" t="str"/>
      <x:c r="G510" s="31" t="str">
        <x:f>IF(C510="","NO DATA",IF(C510&gt;=30,"ALERT","NORMAL"))</x:f>
        <x:v>NORMAL</x:v>
      </x:c>
      <x:c r="H510" s="31" t="str">
        <x:f>IF(C510="","MISSING",IF(C510&gt;=30,"HIGH TEMP","OK"))</x:f>
        <x:v>OK</x:v>
      </x:c>
      <x:c r="I510" s="31" t="str">
        <x:f>IF(E510="","NO DATA",IF(E510&lt;20,"LOW FLOW","OK"))</x:f>
        <x:v>OK</x:v>
      </x:c>
      <x:c r="J510" s="31" t="str">
        <x:f>IF(OR(C510="",D510="",E510=""),"MISSING",IF(OR(C510&lt;0,C510&gt;60,D510&lt;50,D510&gt;400,E510&lt;0,E510&gt;200),"REVIEW","OK"))</x:f>
        <x:v>OK</x:v>
      </x:c>
    </x:row>
    <x:row r="511">
      <x:c r="A511" s="31" t="n">
        <x:v>510</x:v>
      </x:c>
      <x:c r="B511" s="32" t="n">
        <x:v>46310.39224537037</x:v>
      </x:c>
      <x:c r="C511" s="33" t="n">
        <x:v>24.46</x:v>
      </x:c>
      <x:c r="D511" s="33" t="n">
        <x:v>208.299</x:v>
      </x:c>
      <x:c r="E511" s="33" t="n">
        <x:v>79.392</x:v>
      </x:c>
      <x:c r="F511" s="31" t="str"/>
      <x:c r="G511" s="31" t="str">
        <x:f>IF(C511="","NO DATA",IF(C511&gt;=30,"ALERT","NORMAL"))</x:f>
        <x:v>NORMAL</x:v>
      </x:c>
      <x:c r="H511" s="31" t="str">
        <x:f>IF(C511="","MISSING",IF(C511&gt;=30,"HIGH TEMP","OK"))</x:f>
        <x:v>OK</x:v>
      </x:c>
      <x:c r="I511" s="31" t="str">
        <x:f>IF(E511="","NO DATA",IF(E511&lt;20,"LOW FLOW","OK"))</x:f>
        <x:v>OK</x:v>
      </x:c>
      <x:c r="J511" s="31" t="str">
        <x:f>IF(OR(C511="",D511="",E511=""),"MISSING",IF(OR(C511&lt;0,C511&gt;60,D511&lt;50,D511&gt;400,E511&lt;0,E511&gt;200),"REVIEW","OK"))</x:f>
        <x:v>OK</x:v>
      </x:c>
    </x:row>
    <x:row r="512">
      <x:c r="A512" s="31" t="n">
        <x:v>511</x:v>
      </x:c>
      <x:c r="B512" s="32" t="n">
        <x:v>46310.39236111111</x:v>
      </x:c>
      <x:c r="C512" s="33" t="n">
        <x:v>24.533</x:v>
      </x:c>
      <x:c r="D512" s="33" t="n">
        <x:v>206.051</x:v>
      </x:c>
      <x:c r="E512" s="33" t="n">
        <x:v>78.756</x:v>
      </x:c>
      <x:c r="F512" s="31" t="str"/>
      <x:c r="G512" s="31" t="str">
        <x:f>IF(C512="","NO DATA",IF(C512&gt;=30,"ALERT","NORMAL"))</x:f>
        <x:v>NORMAL</x:v>
      </x:c>
      <x:c r="H512" s="31" t="str">
        <x:f>IF(C512="","MISSING",IF(C512&gt;=30,"HIGH TEMP","OK"))</x:f>
        <x:v>OK</x:v>
      </x:c>
      <x:c r="I512" s="31" t="str">
        <x:f>IF(E512="","NO DATA",IF(E512&lt;20,"LOW FLOW","OK"))</x:f>
        <x:v>OK</x:v>
      </x:c>
      <x:c r="J512" s="31" t="str">
        <x:f>IF(OR(C512="",D512="",E512=""),"MISSING",IF(OR(C512&lt;0,C512&gt;60,D512&lt;50,D512&gt;400,E512&lt;0,E512&gt;200),"REVIEW","OK"))</x:f>
        <x:v>OK</x:v>
      </x:c>
    </x:row>
    <x:row r="513">
      <x:c r="A513" s="31" t="n">
        <x:v>512</x:v>
      </x:c>
      <x:c r="B513" s="32" t="n">
        <x:v>46310.392476851855</x:v>
      </x:c>
      <x:c r="C513" s="33" t="n">
        <x:v>24.65</x:v>
      </x:c>
      <x:c r="D513" s="33" t="n">
        <x:v>207.855</x:v>
      </x:c>
      <x:c r="E513" s="33" t="n">
        <x:v>79.228</x:v>
      </x:c>
      <x:c r="F513" s="31" t="str"/>
      <x:c r="G513" s="31" t="str">
        <x:f>IF(C513="","NO DATA",IF(C513&gt;=30,"ALERT","NORMAL"))</x:f>
        <x:v>NORMAL</x:v>
      </x:c>
      <x:c r="H513" s="31" t="str">
        <x:f>IF(C513="","MISSING",IF(C513&gt;=30,"HIGH TEMP","OK"))</x:f>
        <x:v>OK</x:v>
      </x:c>
      <x:c r="I513" s="31" t="str">
        <x:f>IF(E513="","NO DATA",IF(E513&lt;20,"LOW FLOW","OK"))</x:f>
        <x:v>OK</x:v>
      </x:c>
      <x:c r="J513" s="31" t="str">
        <x:f>IF(OR(C513="",D513="",E513=""),"MISSING",IF(OR(C513&lt;0,C513&gt;60,D513&lt;50,D513&gt;400,E513&lt;0,E513&gt;200),"REVIEW","OK"))</x:f>
        <x:v>OK</x:v>
      </x:c>
    </x:row>
    <x:row r="514">
      <x:c r="A514" s="31" t="n">
        <x:v>513</x:v>
      </x:c>
      <x:c r="B514" s="32" t="n">
        <x:v>46310.392592592594</x:v>
      </x:c>
      <x:c r="C514" s="33" t="n">
        <x:v>24.58</x:v>
      </x:c>
      <x:c r="D514" s="33" t="n">
        <x:v>208.078</x:v>
      </x:c>
      <x:c r="E514" s="33" t="n">
        <x:v>78.102</x:v>
      </x:c>
      <x:c r="F514" s="31" t="str"/>
      <x:c r="G514" s="31" t="str">
        <x:f>IF(C514="","NO DATA",IF(C514&gt;=30,"ALERT","NORMAL"))</x:f>
        <x:v>NORMAL</x:v>
      </x:c>
      <x:c r="H514" s="31" t="str">
        <x:f>IF(C514="","MISSING",IF(C514&gt;=30,"HIGH TEMP","OK"))</x:f>
        <x:v>OK</x:v>
      </x:c>
      <x:c r="I514" s="31" t="str">
        <x:f>IF(E514="","NO DATA",IF(E514&lt;20,"LOW FLOW","OK"))</x:f>
        <x:v>OK</x:v>
      </x:c>
      <x:c r="J514" s="31" t="str">
        <x:f>IF(OR(C514="",D514="",E514=""),"MISSING",IF(OR(C514&lt;0,C514&gt;60,D514&lt;50,D514&gt;400,E514&lt;0,E514&gt;200),"REVIEW","OK"))</x:f>
        <x:v>OK</x:v>
      </x:c>
    </x:row>
    <x:row r="515">
      <x:c r="A515" s="31" t="n">
        <x:v>514</x:v>
      </x:c>
      <x:c r="B515" s="32" t="n">
        <x:v>46310.39270833333</x:v>
      </x:c>
      <x:c r="C515" s="33" t="n">
        <x:v>24.639</x:v>
      </x:c>
      <x:c r="D515" s="33" t="n">
        <x:v>207.447</x:v>
      </x:c>
      <x:c r="E515" s="33" t="n">
        <x:v>78.969</x:v>
      </x:c>
      <x:c r="F515" s="31" t="str"/>
      <x:c r="G515" s="31" t="str">
        <x:f>IF(C515="","NO DATA",IF(C515&gt;=30,"ALERT","NORMAL"))</x:f>
        <x:v>NORMAL</x:v>
      </x:c>
      <x:c r="H515" s="31" t="str">
        <x:f>IF(C515="","MISSING",IF(C515&gt;=30,"HIGH TEMP","OK"))</x:f>
        <x:v>OK</x:v>
      </x:c>
      <x:c r="I515" s="31" t="str">
        <x:f>IF(E515="","NO DATA",IF(E515&lt;20,"LOW FLOW","OK"))</x:f>
        <x:v>OK</x:v>
      </x:c>
      <x:c r="J515" s="31" t="str">
        <x:f>IF(OR(C515="",D515="",E515=""),"MISSING",IF(OR(C515&lt;0,C515&gt;60,D515&lt;50,D515&gt;400,E515&lt;0,E515&gt;200),"REVIEW","OK"))</x:f>
        <x:v>OK</x:v>
      </x:c>
    </x:row>
    <x:row r="516">
      <x:c r="A516" s="31" t="n">
        <x:v>515</x:v>
      </x:c>
      <x:c r="B516" s="32" t="n">
        <x:v>46310.39282407407</x:v>
      </x:c>
      <x:c r="C516" s="33" t="n">
        <x:v>24.549</x:v>
      </x:c>
      <x:c r="D516" s="33" t="n">
        <x:v>206.469</x:v>
      </x:c>
      <x:c r="E516" s="33" t="n">
        <x:v>79.966</x:v>
      </x:c>
      <x:c r="F516" s="31" t="str"/>
      <x:c r="G516" s="31" t="str">
        <x:f>IF(C516="","NO DATA",IF(C516&gt;=30,"ALERT","NORMAL"))</x:f>
        <x:v>NORMAL</x:v>
      </x:c>
      <x:c r="H516" s="31" t="str">
        <x:f>IF(C516="","MISSING",IF(C516&gt;=30,"HIGH TEMP","OK"))</x:f>
        <x:v>OK</x:v>
      </x:c>
      <x:c r="I516" s="31" t="str">
        <x:f>IF(E516="","NO DATA",IF(E516&lt;20,"LOW FLOW","OK"))</x:f>
        <x:v>OK</x:v>
      </x:c>
      <x:c r="J516" s="31" t="str">
        <x:f>IF(OR(C516="",D516="",E516=""),"MISSING",IF(OR(C516&lt;0,C516&gt;60,D516&lt;50,D516&gt;400,E516&lt;0,E516&gt;200),"REVIEW","OK"))</x:f>
        <x:v>OK</x:v>
      </x:c>
    </x:row>
    <x:row r="517">
      <x:c r="A517" s="31" t="n">
        <x:v>516</x:v>
      </x:c>
      <x:c r="B517" s="32" t="n">
        <x:v>46310.39293981482</x:v>
      </x:c>
      <x:c r="C517" s="33" t="n">
        <x:v>24.576</x:v>
      </x:c>
      <x:c r="D517" s="33" t="n">
        <x:v>207.274</x:v>
      </x:c>
      <x:c r="E517" s="33" t="n">
        <x:v>78.272</x:v>
      </x:c>
      <x:c r="F517" s="31" t="str"/>
      <x:c r="G517" s="31" t="str">
        <x:f>IF(C517="","NO DATA",IF(C517&gt;=30,"ALERT","NORMAL"))</x:f>
        <x:v>NORMAL</x:v>
      </x:c>
      <x:c r="H517" s="31" t="str">
        <x:f>IF(C517="","MISSING",IF(C517&gt;=30,"HIGH TEMP","OK"))</x:f>
        <x:v>OK</x:v>
      </x:c>
      <x:c r="I517" s="31" t="str">
        <x:f>IF(E517="","NO DATA",IF(E517&lt;20,"LOW FLOW","OK"))</x:f>
        <x:v>OK</x:v>
      </x:c>
      <x:c r="J517" s="31" t="str">
        <x:f>IF(OR(C517="",D517="",E517=""),"MISSING",IF(OR(C517&lt;0,C517&gt;60,D517&lt;50,D517&gt;400,E517&lt;0,E517&gt;200),"REVIEW","OK"))</x:f>
        <x:v>OK</x:v>
      </x:c>
    </x:row>
    <x:row r="518">
      <x:c r="A518" s="31" t="n">
        <x:v>517</x:v>
      </x:c>
      <x:c r="B518" s="32" t="n">
        <x:v>46310.393055555556</x:v>
      </x:c>
      <x:c r="C518" s="33" t="n">
        <x:v>24.628</x:v>
      </x:c>
      <x:c r="D518" s="33" t="n">
        <x:v>206.574</x:v>
      </x:c>
      <x:c r="E518" s="33" t="n">
        <x:v>80.003</x:v>
      </x:c>
      <x:c r="F518" s="31" t="str"/>
      <x:c r="G518" s="31" t="str">
        <x:f>IF(C518="","NO DATA",IF(C518&gt;=30,"ALERT","NORMAL"))</x:f>
        <x:v>NORMAL</x:v>
      </x:c>
      <x:c r="H518" s="31" t="str">
        <x:f>IF(C518="","MISSING",IF(C518&gt;=30,"HIGH TEMP","OK"))</x:f>
        <x:v>OK</x:v>
      </x:c>
      <x:c r="I518" s="31" t="str">
        <x:f>IF(E518="","NO DATA",IF(E518&lt;20,"LOW FLOW","OK"))</x:f>
        <x:v>OK</x:v>
      </x:c>
      <x:c r="J518" s="31" t="str">
        <x:f>IF(OR(C518="",D518="",E518=""),"MISSING",IF(OR(C518&lt;0,C518&gt;60,D518&lt;50,D518&gt;400,E518&lt;0,E518&gt;200),"REVIEW","OK"))</x:f>
        <x:v>OK</x:v>
      </x:c>
    </x:row>
    <x:row r="519">
      <x:c r="A519" s="31" t="n">
        <x:v>518</x:v>
      </x:c>
      <x:c r="B519" s="32" t="n">
        <x:v>46310.393171296295</x:v>
      </x:c>
      <x:c r="C519" s="33" t="n">
        <x:v>24.35</x:v>
      </x:c>
      <x:c r="D519" s="33" t="n">
        <x:v>205.574</x:v>
      </x:c>
      <x:c r="E519" s="33" t="n">
        <x:v>78.173</x:v>
      </x:c>
      <x:c r="F519" s="31" t="str"/>
      <x:c r="G519" s="31" t="str">
        <x:f>IF(C519="","NO DATA",IF(C519&gt;=30,"ALERT","NORMAL"))</x:f>
        <x:v>NORMAL</x:v>
      </x:c>
      <x:c r="H519" s="31" t="str">
        <x:f>IF(C519="","MISSING",IF(C519&gt;=30,"HIGH TEMP","OK"))</x:f>
        <x:v>OK</x:v>
      </x:c>
      <x:c r="I519" s="31" t="str">
        <x:f>IF(E519="","NO DATA",IF(E519&lt;20,"LOW FLOW","OK"))</x:f>
        <x:v>OK</x:v>
      </x:c>
      <x:c r="J519" s="31" t="str">
        <x:f>IF(OR(C519="",D519="",E519=""),"MISSING",IF(OR(C519&lt;0,C519&gt;60,D519&lt;50,D519&gt;400,E519&lt;0,E519&gt;200),"REVIEW","OK"))</x:f>
        <x:v>OK</x:v>
      </x:c>
    </x:row>
    <x:row r="520">
      <x:c r="A520" s="31" t="n">
        <x:v>519</x:v>
      </x:c>
      <x:c r="B520" s="32" t="n">
        <x:v>46310.39328703703</x:v>
      </x:c>
      <x:c r="C520" s="33" t="n">
        <x:v>24.377</x:v>
      </x:c>
      <x:c r="D520" s="33" t="n">
        <x:v>206.098</x:v>
      </x:c>
      <x:c r="E520" s="33" t="n">
        <x:v>79.503</x:v>
      </x:c>
      <x:c r="F520" s="31" t="str"/>
      <x:c r="G520" s="31" t="str">
        <x:f>IF(C520="","NO DATA",IF(C520&gt;=30,"ALERT","NORMAL"))</x:f>
        <x:v>NORMAL</x:v>
      </x:c>
      <x:c r="H520" s="31" t="str">
        <x:f>IF(C520="","MISSING",IF(C520&gt;=30,"HIGH TEMP","OK"))</x:f>
        <x:v>OK</x:v>
      </x:c>
      <x:c r="I520" s="31" t="str">
        <x:f>IF(E520="","NO DATA",IF(E520&lt;20,"LOW FLOW","OK"))</x:f>
        <x:v>OK</x:v>
      </x:c>
      <x:c r="J520" s="31" t="str">
        <x:f>IF(OR(C520="",D520="",E520=""),"MISSING",IF(OR(C520&lt;0,C520&gt;60,D520&lt;50,D520&gt;400,E520&lt;0,E520&gt;200),"REVIEW","OK"))</x:f>
        <x:v>OK</x:v>
      </x:c>
    </x:row>
    <x:row r="521">
      <x:c r="A521" s="31" t="n">
        <x:v>520</x:v>
      </x:c>
      <x:c r="B521" s="32" t="n">
        <x:v>46310.39340277778</x:v>
      </x:c>
      <x:c r="C521" s="33" t="n">
        <x:v>24.425</x:v>
      </x:c>
      <x:c r="D521" s="33" t="n">
        <x:v>207.885</x:v>
      </x:c>
      <x:c r="E521" s="33" t="n">
        <x:v>79.949</x:v>
      </x:c>
      <x:c r="F521" s="31" t="str"/>
      <x:c r="G521" s="31" t="str">
        <x:f>IF(C521="","NO DATA",IF(C521&gt;=30,"ALERT","NORMAL"))</x:f>
        <x:v>NORMAL</x:v>
      </x:c>
      <x:c r="H521" s="31" t="str">
        <x:f>IF(C521="","MISSING",IF(C521&gt;=30,"HIGH TEMP","OK"))</x:f>
        <x:v>OK</x:v>
      </x:c>
      <x:c r="I521" s="31" t="str">
        <x:f>IF(E521="","NO DATA",IF(E521&lt;20,"LOW FLOW","OK"))</x:f>
        <x:v>OK</x:v>
      </x:c>
      <x:c r="J521" s="31" t="str">
        <x:f>IF(OR(C521="",D521="",E521=""),"MISSING",IF(OR(C521&lt;0,C521&gt;60,D521&lt;50,D521&gt;400,E521&lt;0,E521&gt;200),"REVIEW","OK"))</x:f>
        <x:v>OK</x:v>
      </x:c>
    </x:row>
    <x:row r="522">
      <x:c r="A522" s="31" t="n">
        <x:v>521</x:v>
      </x:c>
      <x:c r="B522" s="32" t="n">
        <x:v>46310.39351851852</x:v>
      </x:c>
      <x:c r="C522" s="33" t="n">
        <x:v>24.568</x:v>
      </x:c>
      <x:c r="D522" s="33" t="n">
        <x:v>205.75</x:v>
      </x:c>
      <x:c r="E522" s="33" t="n">
        <x:v>79.332</x:v>
      </x:c>
      <x:c r="F522" s="31" t="str"/>
      <x:c r="G522" s="31" t="str">
        <x:f>IF(C522="","NO DATA",IF(C522&gt;=30,"ALERT","NORMAL"))</x:f>
        <x:v>NORMAL</x:v>
      </x:c>
      <x:c r="H522" s="31" t="str">
        <x:f>IF(C522="","MISSING",IF(C522&gt;=30,"HIGH TEMP","OK"))</x:f>
        <x:v>OK</x:v>
      </x:c>
      <x:c r="I522" s="31" t="str">
        <x:f>IF(E522="","NO DATA",IF(E522&lt;20,"LOW FLOW","OK"))</x:f>
        <x:v>OK</x:v>
      </x:c>
      <x:c r="J522" s="31" t="str">
        <x:f>IF(OR(C522="",D522="",E522=""),"MISSING",IF(OR(C522&lt;0,C522&gt;60,D522&lt;50,D522&gt;400,E522&lt;0,E522&gt;200),"REVIEW","OK"))</x:f>
        <x:v>OK</x:v>
      </x:c>
    </x:row>
    <x:row r="523">
      <x:c r="A523" s="31" t="n">
        <x:v>522</x:v>
      </x:c>
      <x:c r="B523" s="32" t="n">
        <x:v>46310.39363425926</x:v>
      </x:c>
      <x:c r="C523" s="33" t="n">
        <x:v>24.472</x:v>
      </x:c>
      <x:c r="D523" s="33" t="n">
        <x:v>205.313</x:v>
      </x:c>
      <x:c r="E523" s="33" t="n">
        <x:v>78.548</x:v>
      </x:c>
      <x:c r="F523" s="31" t="str"/>
      <x:c r="G523" s="31" t="str">
        <x:f>IF(C523="","NO DATA",IF(C523&gt;=30,"ALERT","NORMAL"))</x:f>
        <x:v>NORMAL</x:v>
      </x:c>
      <x:c r="H523" s="31" t="str">
        <x:f>IF(C523="","MISSING",IF(C523&gt;=30,"HIGH TEMP","OK"))</x:f>
        <x:v>OK</x:v>
      </x:c>
      <x:c r="I523" s="31" t="str">
        <x:f>IF(E523="","NO DATA",IF(E523&lt;20,"LOW FLOW","OK"))</x:f>
        <x:v>OK</x:v>
      </x:c>
      <x:c r="J523" s="31" t="str">
        <x:f>IF(OR(C523="",D523="",E523=""),"MISSING",IF(OR(C523&lt;0,C523&gt;60,D523&lt;50,D523&gt;400,E523&lt;0,E523&gt;200),"REVIEW","OK"))</x:f>
        <x:v>OK</x:v>
      </x:c>
    </x:row>
    <x:row r="524">
      <x:c r="A524" s="31" t="n">
        <x:v>523</x:v>
      </x:c>
      <x:c r="B524" s="32" t="n">
        <x:v>46310.39375</x:v>
      </x:c>
      <x:c r="C524" s="33" t="n">
        <x:v>24.458</x:v>
      </x:c>
      <x:c r="D524" s="33" t="n">
        <x:v>206.389</x:v>
      </x:c>
      <x:c r="E524" s="33" t="n">
        <x:v>78.246</x:v>
      </x:c>
      <x:c r="F524" s="31" t="str"/>
      <x:c r="G524" s="31" t="str">
        <x:f>IF(C524="","NO DATA",IF(C524&gt;=30,"ALERT","NORMAL"))</x:f>
        <x:v>NORMAL</x:v>
      </x:c>
      <x:c r="H524" s="31" t="str">
        <x:f>IF(C524="","MISSING",IF(C524&gt;=30,"HIGH TEMP","OK"))</x:f>
        <x:v>OK</x:v>
      </x:c>
      <x:c r="I524" s="31" t="str">
        <x:f>IF(E524="","NO DATA",IF(E524&lt;20,"LOW FLOW","OK"))</x:f>
        <x:v>OK</x:v>
      </x:c>
      <x:c r="J524" s="31" t="str">
        <x:f>IF(OR(C524="",D524="",E524=""),"MISSING",IF(OR(C524&lt;0,C524&gt;60,D524&lt;50,D524&gt;400,E524&lt;0,E524&gt;200),"REVIEW","OK"))</x:f>
        <x:v>OK</x:v>
      </x:c>
    </x:row>
    <x:row r="525">
      <x:c r="A525" s="31" t="n">
        <x:v>524</x:v>
      </x:c>
      <x:c r="B525" s="32" t="n">
        <x:v>46310.39386574074</x:v>
      </x:c>
      <x:c r="C525" s="33" t="n">
        <x:v>24.571</x:v>
      </x:c>
      <x:c r="D525" s="33" t="n">
        <x:v>205.291</x:v>
      </x:c>
      <x:c r="E525" s="33" t="n">
        <x:v>79.447</x:v>
      </x:c>
      <x:c r="F525" s="31" t="str"/>
      <x:c r="G525" s="31" t="str">
        <x:f>IF(C525="","NO DATA",IF(C525&gt;=30,"ALERT","NORMAL"))</x:f>
        <x:v>NORMAL</x:v>
      </x:c>
      <x:c r="H525" s="31" t="str">
        <x:f>IF(C525="","MISSING",IF(C525&gt;=30,"HIGH TEMP","OK"))</x:f>
        <x:v>OK</x:v>
      </x:c>
      <x:c r="I525" s="31" t="str">
        <x:f>IF(E525="","NO DATA",IF(E525&lt;20,"LOW FLOW","OK"))</x:f>
        <x:v>OK</x:v>
      </x:c>
      <x:c r="J525" s="31" t="str">
        <x:f>IF(OR(C525="",D525="",E525=""),"MISSING",IF(OR(C525&lt;0,C525&gt;60,D525&lt;50,D525&gt;400,E525&lt;0,E525&gt;200),"REVIEW","OK"))</x:f>
        <x:v>OK</x:v>
      </x:c>
    </x:row>
    <x:row r="526">
      <x:c r="A526" s="31" t="n">
        <x:v>525</x:v>
      </x:c>
      <x:c r="B526" s="32" t="n">
        <x:v>46310.39398148148</x:v>
      </x:c>
      <x:c r="C526" s="33" t="n">
        <x:v>24.495</x:v>
      </x:c>
      <x:c r="D526" s="33" t="n">
        <x:v>206.594</x:v>
      </x:c>
      <x:c r="E526" s="33" t="n">
        <x:v>79.92</x:v>
      </x:c>
      <x:c r="F526" s="31" t="str"/>
      <x:c r="G526" s="31" t="str">
        <x:f>IF(C526="","NO DATA",IF(C526&gt;=30,"ALERT","NORMAL"))</x:f>
        <x:v>NORMAL</x:v>
      </x:c>
      <x:c r="H526" s="31" t="str">
        <x:f>IF(C526="","MISSING",IF(C526&gt;=30,"HIGH TEMP","OK"))</x:f>
        <x:v>OK</x:v>
      </x:c>
      <x:c r="I526" s="31" t="str">
        <x:f>IF(E526="","NO DATA",IF(E526&lt;20,"LOW FLOW","OK"))</x:f>
        <x:v>OK</x:v>
      </x:c>
      <x:c r="J526" s="31" t="str">
        <x:f>IF(OR(C526="",D526="",E526=""),"MISSING",IF(OR(C526&lt;0,C526&gt;60,D526&lt;50,D526&gt;400,E526&lt;0,E526&gt;200),"REVIEW","OK"))</x:f>
        <x:v>OK</x:v>
      </x:c>
    </x:row>
    <x:row r="527">
      <x:c r="A527" s="31" t="n">
        <x:v>526</x:v>
      </x:c>
      <x:c r="B527" s="32" t="n">
        <x:v>46310.39409722222</x:v>
      </x:c>
      <x:c r="C527" s="33" t="n">
        <x:v>24.437</x:v>
      </x:c>
      <x:c r="D527" s="33" t="n">
        <x:v>207.209</x:v>
      </x:c>
      <x:c r="E527" s="33" t="n">
        <x:v>78.004</x:v>
      </x:c>
      <x:c r="F527" s="31" t="str"/>
      <x:c r="G527" s="31" t="str">
        <x:f>IF(C527="","NO DATA",IF(C527&gt;=30,"ALERT","NORMAL"))</x:f>
        <x:v>NORMAL</x:v>
      </x:c>
      <x:c r="H527" s="31" t="str">
        <x:f>IF(C527="","MISSING",IF(C527&gt;=30,"HIGH TEMP","OK"))</x:f>
        <x:v>OK</x:v>
      </x:c>
      <x:c r="I527" s="31" t="str">
        <x:f>IF(E527="","NO DATA",IF(E527&lt;20,"LOW FLOW","OK"))</x:f>
        <x:v>OK</x:v>
      </x:c>
      <x:c r="J527" s="31" t="str">
        <x:f>IF(OR(C527="",D527="",E527=""),"MISSING",IF(OR(C527&lt;0,C527&gt;60,D527&lt;50,D527&gt;400,E527&lt;0,E527&gt;200),"REVIEW","OK"))</x:f>
        <x:v>OK</x:v>
      </x:c>
    </x:row>
    <x:row r="528">
      <x:c r="A528" s="31" t="n">
        <x:v>527</x:v>
      </x:c>
      <x:c r="B528" s="32" t="n">
        <x:v>46310.394212962965</x:v>
      </x:c>
      <x:c r="C528" s="33" t="n">
        <x:v>24.271</x:v>
      </x:c>
      <x:c r="D528" s="33" t="n">
        <x:v>206.616</x:v>
      </x:c>
      <x:c r="E528" s="33" t="n">
        <x:v>79.363</x:v>
      </x:c>
      <x:c r="F528" s="31" t="str"/>
      <x:c r="G528" s="31" t="str">
        <x:f>IF(C528="","NO DATA",IF(C528&gt;=30,"ALERT","NORMAL"))</x:f>
        <x:v>NORMAL</x:v>
      </x:c>
      <x:c r="H528" s="31" t="str">
        <x:f>IF(C528="","MISSING",IF(C528&gt;=30,"HIGH TEMP","OK"))</x:f>
        <x:v>OK</x:v>
      </x:c>
      <x:c r="I528" s="31" t="str">
        <x:f>IF(E528="","NO DATA",IF(E528&lt;20,"LOW FLOW","OK"))</x:f>
        <x:v>OK</x:v>
      </x:c>
      <x:c r="J528" s="31" t="str">
        <x:f>IF(OR(C528="",D528="",E528=""),"MISSING",IF(OR(C528&lt;0,C528&gt;60,D528&lt;50,D528&gt;400,E528&lt;0,E528&gt;200),"REVIEW","OK"))</x:f>
        <x:v>OK</x:v>
      </x:c>
    </x:row>
    <x:row r="529">
      <x:c r="A529" s="31" t="n">
        <x:v>528</x:v>
      </x:c>
      <x:c r="B529" s="32" t="n">
        <x:v>46310.394328703704</x:v>
      </x:c>
      <x:c r="C529" s="33" t="n">
        <x:v>24.44</x:v>
      </x:c>
      <x:c r="D529" s="33" t="n">
        <x:v>206.955</x:v>
      </x:c>
      <x:c r="E529" s="33" t="n">
        <x:v>79.028</x:v>
      </x:c>
      <x:c r="F529" s="31" t="str"/>
      <x:c r="G529" s="31" t="str">
        <x:f>IF(C529="","NO DATA",IF(C529&gt;=30,"ALERT","NORMAL"))</x:f>
        <x:v>NORMAL</x:v>
      </x:c>
      <x:c r="H529" s="31" t="str">
        <x:f>IF(C529="","MISSING",IF(C529&gt;=30,"HIGH TEMP","OK"))</x:f>
        <x:v>OK</x:v>
      </x:c>
      <x:c r="I529" s="31" t="str">
        <x:f>IF(E529="","NO DATA",IF(E529&lt;20,"LOW FLOW","OK"))</x:f>
        <x:v>OK</x:v>
      </x:c>
      <x:c r="J529" s="31" t="str">
        <x:f>IF(OR(C529="",D529="",E529=""),"MISSING",IF(OR(C529&lt;0,C529&gt;60,D529&lt;50,D529&gt;400,E529&lt;0,E529&gt;200),"REVIEW","OK"))</x:f>
        <x:v>OK</x:v>
      </x:c>
    </x:row>
    <x:row r="530">
      <x:c r="A530" s="31" t="n">
        <x:v>529</x:v>
      </x:c>
      <x:c r="B530" s="32" t="n">
        <x:v>46310.39444444444</x:v>
      </x:c>
      <x:c r="C530" s="33" t="n">
        <x:v>24.424</x:v>
      </x:c>
      <x:c r="D530" s="33" t="n">
        <x:v>206.115</x:v>
      </x:c>
      <x:c r="E530" s="33" t="n">
        <x:v>79.588</x:v>
      </x:c>
      <x:c r="F530" s="31" t="str"/>
      <x:c r="G530" s="31" t="str">
        <x:f>IF(C530="","NO DATA",IF(C530&gt;=30,"ALERT","NORMAL"))</x:f>
        <x:v>NORMAL</x:v>
      </x:c>
      <x:c r="H530" s="31" t="str">
        <x:f>IF(C530="","MISSING",IF(C530&gt;=30,"HIGH TEMP","OK"))</x:f>
        <x:v>OK</x:v>
      </x:c>
      <x:c r="I530" s="31" t="str">
        <x:f>IF(E530="","NO DATA",IF(E530&lt;20,"LOW FLOW","OK"))</x:f>
        <x:v>OK</x:v>
      </x:c>
      <x:c r="J530" s="31" t="str">
        <x:f>IF(OR(C530="",D530="",E530=""),"MISSING",IF(OR(C530&lt;0,C530&gt;60,D530&lt;50,D530&gt;400,E530&lt;0,E530&gt;200),"REVIEW","OK"))</x:f>
        <x:v>OK</x:v>
      </x:c>
    </x:row>
    <x:row r="531">
      <x:c r="A531" s="31" t="n">
        <x:v>530</x:v>
      </x:c>
      <x:c r="B531" s="32" t="n">
        <x:v>46310.39456018519</x:v>
      </x:c>
      <x:c r="C531" s="33" t="n">
        <x:v>24.306</x:v>
      </x:c>
      <x:c r="D531" s="33" t="n">
        <x:v>207.461</x:v>
      </x:c>
      <x:c r="E531" s="33" t="n">
        <x:v>79.303</x:v>
      </x:c>
      <x:c r="F531" s="31" t="str"/>
      <x:c r="G531" s="31" t="str">
        <x:f>IF(C531="","NO DATA",IF(C531&gt;=30,"ALERT","NORMAL"))</x:f>
        <x:v>NORMAL</x:v>
      </x:c>
      <x:c r="H531" s="31" t="str">
        <x:f>IF(C531="","MISSING",IF(C531&gt;=30,"HIGH TEMP","OK"))</x:f>
        <x:v>OK</x:v>
      </x:c>
      <x:c r="I531" s="31" t="str">
        <x:f>IF(E531="","NO DATA",IF(E531&lt;20,"LOW FLOW","OK"))</x:f>
        <x:v>OK</x:v>
      </x:c>
      <x:c r="J531" s="31" t="str">
        <x:f>IF(OR(C531="",D531="",E531=""),"MISSING",IF(OR(C531&lt;0,C531&gt;60,D531&lt;50,D531&gt;400,E531&lt;0,E531&gt;200),"REVIEW","OK"))</x:f>
        <x:v>OK</x:v>
      </x:c>
    </x:row>
    <x:row r="532">
      <x:c r="A532" s="31" t="n">
        <x:v>531</x:v>
      </x:c>
      <x:c r="B532" s="32" t="n">
        <x:v>46310.39467592593</x:v>
      </x:c>
      <x:c r="C532" s="33" t="n">
        <x:v>24.447</x:v>
      </x:c>
      <x:c r="D532" s="33" t="n">
        <x:v>206.621</x:v>
      </x:c>
      <x:c r="E532" s="33" t="n">
        <x:v>78.924</x:v>
      </x:c>
      <x:c r="F532" s="31" t="str"/>
      <x:c r="G532" s="31" t="str">
        <x:f>IF(C532="","NO DATA",IF(C532&gt;=30,"ALERT","NORMAL"))</x:f>
        <x:v>NORMAL</x:v>
      </x:c>
      <x:c r="H532" s="31" t="str">
        <x:f>IF(C532="","MISSING",IF(C532&gt;=30,"HIGH TEMP","OK"))</x:f>
        <x:v>OK</x:v>
      </x:c>
      <x:c r="I532" s="31" t="str">
        <x:f>IF(E532="","NO DATA",IF(E532&lt;20,"LOW FLOW","OK"))</x:f>
        <x:v>OK</x:v>
      </x:c>
      <x:c r="J532" s="31" t="str">
        <x:f>IF(OR(C532="",D532="",E532=""),"MISSING",IF(OR(C532&lt;0,C532&gt;60,D532&lt;50,D532&gt;400,E532&lt;0,E532&gt;200),"REVIEW","OK"))</x:f>
        <x:v>OK</x:v>
      </x:c>
    </x:row>
    <x:row r="533">
      <x:c r="A533" s="31" t="n">
        <x:v>532</x:v>
      </x:c>
      <x:c r="B533" s="32" t="n">
        <x:v>46310.394791666666</x:v>
      </x:c>
      <x:c r="C533" s="33" t="n">
        <x:v>24.213</x:v>
      </x:c>
      <x:c r="D533" s="33" t="n">
        <x:v>204.724</x:v>
      </x:c>
      <x:c r="E533" s="33" t="n">
        <x:v>79.337</x:v>
      </x:c>
      <x:c r="F533" s="31" t="str"/>
      <x:c r="G533" s="31" t="str">
        <x:f>IF(C533="","NO DATA",IF(C533&gt;=30,"ALERT","NORMAL"))</x:f>
        <x:v>NORMAL</x:v>
      </x:c>
      <x:c r="H533" s="31" t="str">
        <x:f>IF(C533="","MISSING",IF(C533&gt;=30,"HIGH TEMP","OK"))</x:f>
        <x:v>OK</x:v>
      </x:c>
      <x:c r="I533" s="31" t="str">
        <x:f>IF(E533="","NO DATA",IF(E533&lt;20,"LOW FLOW","OK"))</x:f>
        <x:v>OK</x:v>
      </x:c>
      <x:c r="J533" s="31" t="str">
        <x:f>IF(OR(C533="",D533="",E533=""),"MISSING",IF(OR(C533&lt;0,C533&gt;60,D533&lt;50,D533&gt;400,E533&lt;0,E533&gt;200),"REVIEW","OK"))</x:f>
        <x:v>OK</x:v>
      </x:c>
    </x:row>
    <x:row r="534">
      <x:c r="A534" s="31" t="n">
        <x:v>533</x:v>
      </x:c>
      <x:c r="B534" s="32" t="n">
        <x:v>46310.394907407404</x:v>
      </x:c>
      <x:c r="C534" s="33" t="n">
        <x:v>24.322</x:v>
      </x:c>
      <x:c r="D534" s="33" t="n">
        <x:v>205.14</x:v>
      </x:c>
      <x:c r="E534" s="33" t="n">
        <x:v>79.814</x:v>
      </x:c>
      <x:c r="F534" s="31" t="str"/>
      <x:c r="G534" s="31" t="str">
        <x:f>IF(C534="","NO DATA",IF(C534&gt;=30,"ALERT","NORMAL"))</x:f>
        <x:v>NORMAL</x:v>
      </x:c>
      <x:c r="H534" s="31" t="str">
        <x:f>IF(C534="","MISSING",IF(C534&gt;=30,"HIGH TEMP","OK"))</x:f>
        <x:v>OK</x:v>
      </x:c>
      <x:c r="I534" s="31" t="str">
        <x:f>IF(E534="","NO DATA",IF(E534&lt;20,"LOW FLOW","OK"))</x:f>
        <x:v>OK</x:v>
      </x:c>
      <x:c r="J534" s="31" t="str">
        <x:f>IF(OR(C534="",D534="",E534=""),"MISSING",IF(OR(C534&lt;0,C534&gt;60,D534&lt;50,D534&gt;400,E534&lt;0,E534&gt;200),"REVIEW","OK"))</x:f>
        <x:v>OK</x:v>
      </x:c>
    </x:row>
    <x:row r="535">
      <x:c r="A535" s="31" t="n">
        <x:v>534</x:v>
      </x:c>
      <x:c r="B535" s="32" t="n">
        <x:v>46310.39502314815</x:v>
      </x:c>
      <x:c r="C535" s="33" t="n">
        <x:v>24.255</x:v>
      </x:c>
      <x:c r="D535" s="33" t="n">
        <x:v>206.67</x:v>
      </x:c>
      <x:c r="E535" s="33" t="n">
        <x:v>80.202</x:v>
      </x:c>
      <x:c r="F535" s="31" t="str"/>
      <x:c r="G535" s="31" t="str">
        <x:f>IF(C535="","NO DATA",IF(C535&gt;=30,"ALERT","NORMAL"))</x:f>
        <x:v>NORMAL</x:v>
      </x:c>
      <x:c r="H535" s="31" t="str">
        <x:f>IF(C535="","MISSING",IF(C535&gt;=30,"HIGH TEMP","OK"))</x:f>
        <x:v>OK</x:v>
      </x:c>
      <x:c r="I535" s="31" t="str">
        <x:f>IF(E535="","NO DATA",IF(E535&lt;20,"LOW FLOW","OK"))</x:f>
        <x:v>OK</x:v>
      </x:c>
      <x:c r="J535" s="31" t="str">
        <x:f>IF(OR(C535="",D535="",E535=""),"MISSING",IF(OR(C535&lt;0,C535&gt;60,D535&lt;50,D535&gt;400,E535&lt;0,E535&gt;200),"REVIEW","OK"))</x:f>
        <x:v>OK</x:v>
      </x:c>
    </x:row>
    <x:row r="536">
      <x:c r="A536" s="31" t="n">
        <x:v>535</x:v>
      </x:c>
      <x:c r="B536" s="32" t="n">
        <x:v>46310.39513888889</x:v>
      </x:c>
      <x:c r="C536" s="33" t="n">
        <x:v>24.403</x:v>
      </x:c>
      <x:c r="D536" s="33" t="n">
        <x:v>207.432</x:v>
      </x:c>
      <x:c r="E536" s="33" t="n">
        <x:v>78.84</x:v>
      </x:c>
      <x:c r="F536" s="31" t="str"/>
      <x:c r="G536" s="31" t="str">
        <x:f>IF(C536="","NO DATA",IF(C536&gt;=30,"ALERT","NORMAL"))</x:f>
        <x:v>NORMAL</x:v>
      </x:c>
      <x:c r="H536" s="31" t="str">
        <x:f>IF(C536="","MISSING",IF(C536&gt;=30,"HIGH TEMP","OK"))</x:f>
        <x:v>OK</x:v>
      </x:c>
      <x:c r="I536" s="31" t="str">
        <x:f>IF(E536="","NO DATA",IF(E536&lt;20,"LOW FLOW","OK"))</x:f>
        <x:v>OK</x:v>
      </x:c>
      <x:c r="J536" s="31" t="str">
        <x:f>IF(OR(C536="",D536="",E536=""),"MISSING",IF(OR(C536&lt;0,C536&gt;60,D536&lt;50,D536&gt;400,E536&lt;0,E536&gt;200),"REVIEW","OK"))</x:f>
        <x:v>OK</x:v>
      </x:c>
    </x:row>
    <x:row r="537">
      <x:c r="A537" s="31" t="n">
        <x:v>536</x:v>
      </x:c>
      <x:c r="B537" s="32" t="n">
        <x:v>46310.39525462963</x:v>
      </x:c>
      <x:c r="C537" s="33" t="n">
        <x:v>24.24</x:v>
      </x:c>
      <x:c r="D537" s="33" t="n">
        <x:v>206.186</x:v>
      </x:c>
      <x:c r="E537" s="33" t="n">
        <x:v>79.384</x:v>
      </x:c>
      <x:c r="F537" s="31" t="str"/>
      <x:c r="G537" s="31" t="str">
        <x:f>IF(C537="","NO DATA",IF(C537&gt;=30,"ALERT","NORMAL"))</x:f>
        <x:v>NORMAL</x:v>
      </x:c>
      <x:c r="H537" s="31" t="str">
        <x:f>IF(C537="","MISSING",IF(C537&gt;=30,"HIGH TEMP","OK"))</x:f>
        <x:v>OK</x:v>
      </x:c>
      <x:c r="I537" s="31" t="str">
        <x:f>IF(E537="","NO DATA",IF(E537&lt;20,"LOW FLOW","OK"))</x:f>
        <x:v>OK</x:v>
      </x:c>
      <x:c r="J537" s="31" t="str">
        <x:f>IF(OR(C537="",D537="",E537=""),"MISSING",IF(OR(C537&lt;0,C537&gt;60,D537&lt;50,D537&gt;400,E537&lt;0,E537&gt;200),"REVIEW","OK"))</x:f>
        <x:v>OK</x:v>
      </x:c>
    </x:row>
    <x:row r="538">
      <x:c r="A538" s="31" t="n">
        <x:v>537</x:v>
      </x:c>
      <x:c r="B538" s="32" t="n">
        <x:v>46310.395370370374</x:v>
      </x:c>
      <x:c r="C538" s="33" t="n">
        <x:v>24.252</x:v>
      </x:c>
      <x:c r="D538" s="33" t="n">
        <x:v>205.303</x:v>
      </x:c>
      <x:c r="E538" s="33" t="n">
        <x:v>79.309</x:v>
      </x:c>
      <x:c r="F538" s="31" t="str"/>
      <x:c r="G538" s="31" t="str">
        <x:f>IF(C538="","NO DATA",IF(C538&gt;=30,"ALERT","NORMAL"))</x:f>
        <x:v>NORMAL</x:v>
      </x:c>
      <x:c r="H538" s="31" t="str">
        <x:f>IF(C538="","MISSING",IF(C538&gt;=30,"HIGH TEMP","OK"))</x:f>
        <x:v>OK</x:v>
      </x:c>
      <x:c r="I538" s="31" t="str">
        <x:f>IF(E538="","NO DATA",IF(E538&lt;20,"LOW FLOW","OK"))</x:f>
        <x:v>OK</x:v>
      </x:c>
      <x:c r="J538" s="31" t="str">
        <x:f>IF(OR(C538="",D538="",E538=""),"MISSING",IF(OR(C538&lt;0,C538&gt;60,D538&lt;50,D538&gt;400,E538&lt;0,E538&gt;200),"REVIEW","OK"))</x:f>
        <x:v>OK</x:v>
      </x:c>
    </x:row>
    <x:row r="539">
      <x:c r="A539" s="31" t="n">
        <x:v>538</x:v>
      </x:c>
      <x:c r="B539" s="32" t="n">
        <x:v>46310.39548611111</x:v>
      </x:c>
      <x:c r="C539" s="33" t="n">
        <x:v>24.124</x:v>
      </x:c>
      <x:c r="D539" s="33" t="n">
        <x:v>205.374</x:v>
      </x:c>
      <x:c r="E539" s="33" t="n">
        <x:v>79.736</x:v>
      </x:c>
      <x:c r="F539" s="31" t="str"/>
      <x:c r="G539" s="31" t="str">
        <x:f>IF(C539="","NO DATA",IF(C539&gt;=30,"ALERT","NORMAL"))</x:f>
        <x:v>NORMAL</x:v>
      </x:c>
      <x:c r="H539" s="31" t="str">
        <x:f>IF(C539="","MISSING",IF(C539&gt;=30,"HIGH TEMP","OK"))</x:f>
        <x:v>OK</x:v>
      </x:c>
      <x:c r="I539" s="31" t="str">
        <x:f>IF(E539="","NO DATA",IF(E539&lt;20,"LOW FLOW","OK"))</x:f>
        <x:v>OK</x:v>
      </x:c>
      <x:c r="J539" s="31" t="str">
        <x:f>IF(OR(C539="",D539="",E539=""),"MISSING",IF(OR(C539&lt;0,C539&gt;60,D539&lt;50,D539&gt;400,E539&lt;0,E539&gt;200),"REVIEW","OK"))</x:f>
        <x:v>OK</x:v>
      </x:c>
    </x:row>
    <x:row r="540">
      <x:c r="A540" s="31" t="n">
        <x:v>539</x:v>
      </x:c>
      <x:c r="B540" s="32" t="n">
        <x:v>46310.39560185185</x:v>
      </x:c>
      <x:c r="C540" s="33" t="n">
        <x:v>24.262</x:v>
      </x:c>
      <x:c r="D540" s="33" t="n">
        <x:v>205.256</x:v>
      </x:c>
      <x:c r="E540" s="33" t="n">
        <x:v>80.995</x:v>
      </x:c>
      <x:c r="F540" s="31" t="str"/>
      <x:c r="G540" s="31" t="str">
        <x:f>IF(C540="","NO DATA",IF(C540&gt;=30,"ALERT","NORMAL"))</x:f>
        <x:v>NORMAL</x:v>
      </x:c>
      <x:c r="H540" s="31" t="str">
        <x:f>IF(C540="","MISSING",IF(C540&gt;=30,"HIGH TEMP","OK"))</x:f>
        <x:v>OK</x:v>
      </x:c>
      <x:c r="I540" s="31" t="str">
        <x:f>IF(E540="","NO DATA",IF(E540&lt;20,"LOW FLOW","OK"))</x:f>
        <x:v>OK</x:v>
      </x:c>
      <x:c r="J540" s="31" t="str">
        <x:f>IF(OR(C540="",D540="",E540=""),"MISSING",IF(OR(C540&lt;0,C540&gt;60,D540&lt;50,D540&gt;400,E540&lt;0,E540&gt;200),"REVIEW","OK"))</x:f>
        <x:v>OK</x:v>
      </x:c>
    </x:row>
    <x:row r="541">
      <x:c r="A541" s="31" t="n">
        <x:v>540</x:v>
      </x:c>
      <x:c r="B541" s="32" t="n">
        <x:v>46310.39571759259</x:v>
      </x:c>
      <x:c r="C541" s="33" t="n">
        <x:v>24.107</x:v>
      </x:c>
      <x:c r="D541" s="33" t="n">
        <x:v>205.506</x:v>
      </x:c>
      <x:c r="E541" s="33" t="n">
        <x:v>80.412</x:v>
      </x:c>
      <x:c r="F541" s="31" t="str"/>
      <x:c r="G541" s="31" t="str">
        <x:f>IF(C541="","NO DATA",IF(C541&gt;=30,"ALERT","NORMAL"))</x:f>
        <x:v>NORMAL</x:v>
      </x:c>
      <x:c r="H541" s="31" t="str">
        <x:f>IF(C541="","MISSING",IF(C541&gt;=30,"HIGH TEMP","OK"))</x:f>
        <x:v>OK</x:v>
      </x:c>
      <x:c r="I541" s="31" t="str">
        <x:f>IF(E541="","NO DATA",IF(E541&lt;20,"LOW FLOW","OK"))</x:f>
        <x:v>OK</x:v>
      </x:c>
      <x:c r="J541" s="31" t="str">
        <x:f>IF(OR(C541="",D541="",E541=""),"MISSING",IF(OR(C541&lt;0,C541&gt;60,D541&lt;50,D541&gt;400,E541&lt;0,E541&gt;200),"REVIEW","OK"))</x:f>
        <x:v>OK</x:v>
      </x:c>
    </x:row>
    <x:row r="542">
      <x:c r="A542" s="31" t="n">
        <x:v>541</x:v>
      </x:c>
      <x:c r="B542" s="32" t="n">
        <x:v>46310.395833333336</x:v>
      </x:c>
      <x:c r="C542" s="33" t="n">
        <x:v>24.134</x:v>
      </x:c>
      <x:c r="D542" s="33" t="n">
        <x:v>206.829</x:v>
      </x:c>
      <x:c r="E542" s="33" t="n">
        <x:v>80.334</x:v>
      </x:c>
      <x:c r="F542" s="31" t="str"/>
      <x:c r="G542" s="31" t="str">
        <x:f>IF(C542="","NO DATA",IF(C542&gt;=30,"ALERT","NORMAL"))</x:f>
        <x:v>NORMAL</x:v>
      </x:c>
      <x:c r="H542" s="31" t="str">
        <x:f>IF(C542="","MISSING",IF(C542&gt;=30,"HIGH TEMP","OK"))</x:f>
        <x:v>OK</x:v>
      </x:c>
      <x:c r="I542" s="31" t="str">
        <x:f>IF(E542="","NO DATA",IF(E542&lt;20,"LOW FLOW","OK"))</x:f>
        <x:v>OK</x:v>
      </x:c>
      <x:c r="J542" s="31" t="str">
        <x:f>IF(OR(C542="",D542="",E542=""),"MISSING",IF(OR(C542&lt;0,C542&gt;60,D542&lt;50,D542&gt;400,E542&lt;0,E542&gt;200),"REVIEW","OK"))</x:f>
        <x:v>OK</x:v>
      </x:c>
    </x:row>
    <x:row r="543">
      <x:c r="A543" s="31" t="n">
        <x:v>542</x:v>
      </x:c>
      <x:c r="B543" s="32" t="n">
        <x:v>46310.395949074074</x:v>
      </x:c>
      <x:c r="C543" s="33" t="n">
        <x:v>24.176</x:v>
      </x:c>
      <x:c r="D543" s="33" t="n">
        <x:v>206.056</x:v>
      </x:c>
      <x:c r="E543" s="33" t="n">
        <x:v>79.993</x:v>
      </x:c>
      <x:c r="F543" s="31" t="str"/>
      <x:c r="G543" s="31" t="str">
        <x:f>IF(C543="","NO DATA",IF(C543&gt;=30,"ALERT","NORMAL"))</x:f>
        <x:v>NORMAL</x:v>
      </x:c>
      <x:c r="H543" s="31" t="str">
        <x:f>IF(C543="","MISSING",IF(C543&gt;=30,"HIGH TEMP","OK"))</x:f>
        <x:v>OK</x:v>
      </x:c>
      <x:c r="I543" s="31" t="str">
        <x:f>IF(E543="","NO DATA",IF(E543&lt;20,"LOW FLOW","OK"))</x:f>
        <x:v>OK</x:v>
      </x:c>
      <x:c r="J543" s="31" t="str">
        <x:f>IF(OR(C543="",D543="",E543=""),"MISSING",IF(OR(C543&lt;0,C543&gt;60,D543&lt;50,D543&gt;400,E543&lt;0,E543&gt;200),"REVIEW","OK"))</x:f>
        <x:v>OK</x:v>
      </x:c>
    </x:row>
    <x:row r="544">
      <x:c r="A544" s="31" t="n">
        <x:v>543</x:v>
      </x:c>
      <x:c r="B544" s="32" t="n">
        <x:v>46310.39606481481</x:v>
      </x:c>
      <x:c r="C544" s="33" t="n">
        <x:v>24.01</x:v>
      </x:c>
      <x:c r="D544" s="33" t="n">
        <x:v>207.42</x:v>
      </x:c>
      <x:c r="E544" s="33" t="n">
        <x:v>80.584</x:v>
      </x:c>
      <x:c r="F544" s="31" t="str"/>
      <x:c r="G544" s="31" t="str">
        <x:f>IF(C544="","NO DATA",IF(C544&gt;=30,"ALERT","NORMAL"))</x:f>
        <x:v>NORMAL</x:v>
      </x:c>
      <x:c r="H544" s="31" t="str">
        <x:f>IF(C544="","MISSING",IF(C544&gt;=30,"HIGH TEMP","OK"))</x:f>
        <x:v>OK</x:v>
      </x:c>
      <x:c r="I544" s="31" t="str">
        <x:f>IF(E544="","NO DATA",IF(E544&lt;20,"LOW FLOW","OK"))</x:f>
        <x:v>OK</x:v>
      </x:c>
      <x:c r="J544" s="31" t="str">
        <x:f>IF(OR(C544="",D544="",E544=""),"MISSING",IF(OR(C544&lt;0,C544&gt;60,D544&lt;50,D544&gt;400,E544&lt;0,E544&gt;200),"REVIEW","OK"))</x:f>
        <x:v>OK</x:v>
      </x:c>
    </x:row>
    <x:row r="545">
      <x:c r="A545" s="31" t="n">
        <x:v>544</x:v>
      </x:c>
      <x:c r="B545" s="32" t="n">
        <x:v>46310.39618055556</x:v>
      </x:c>
      <x:c r="C545" s="33" t="n">
        <x:v>24.274</x:v>
      </x:c>
      <x:c r="D545" s="33" t="n">
        <x:v>205.258</x:v>
      </x:c>
      <x:c r="E545" s="33" t="n">
        <x:v>80.34</x:v>
      </x:c>
      <x:c r="F545" s="31" t="str"/>
      <x:c r="G545" s="31" t="str">
        <x:f>IF(C545="","NO DATA",IF(C545&gt;=30,"ALERT","NORMAL"))</x:f>
        <x:v>NORMAL</x:v>
      </x:c>
      <x:c r="H545" s="31" t="str">
        <x:f>IF(C545="","MISSING",IF(C545&gt;=30,"HIGH TEMP","OK"))</x:f>
        <x:v>OK</x:v>
      </x:c>
      <x:c r="I545" s="31" t="str">
        <x:f>IF(E545="","NO DATA",IF(E545&lt;20,"LOW FLOW","OK"))</x:f>
        <x:v>OK</x:v>
      </x:c>
      <x:c r="J545" s="31" t="str">
        <x:f>IF(OR(C545="",D545="",E545=""),"MISSING",IF(OR(C545&lt;0,C545&gt;60,D545&lt;50,D545&gt;400,E545&lt;0,E545&gt;200),"REVIEW","OK"))</x:f>
        <x:v>OK</x:v>
      </x:c>
    </x:row>
    <x:row r="546">
      <x:c r="A546" s="31" t="n">
        <x:v>545</x:v>
      </x:c>
      <x:c r="B546" s="32" t="n">
        <x:v>46310.3962962963</x:v>
      </x:c>
      <x:c r="C546" s="33" t="n">
        <x:v>23.98</x:v>
      </x:c>
      <x:c r="D546" s="33" t="n">
        <x:v>206.129</x:v>
      </x:c>
      <x:c r="E546" s="33" t="n">
        <x:v>81.734</x:v>
      </x:c>
      <x:c r="F546" s="31" t="str"/>
      <x:c r="G546" s="31" t="str">
        <x:f>IF(C546="","NO DATA",IF(C546&gt;=30,"ALERT","NORMAL"))</x:f>
        <x:v>NORMAL</x:v>
      </x:c>
      <x:c r="H546" s="31" t="str">
        <x:f>IF(C546="","MISSING",IF(C546&gt;=30,"HIGH TEMP","OK"))</x:f>
        <x:v>OK</x:v>
      </x:c>
      <x:c r="I546" s="31" t="str">
        <x:f>IF(E546="","NO DATA",IF(E546&lt;20,"LOW FLOW","OK"))</x:f>
        <x:v>OK</x:v>
      </x:c>
      <x:c r="J546" s="31" t="str">
        <x:f>IF(OR(C546="",D546="",E546=""),"MISSING",IF(OR(C546&lt;0,C546&gt;60,D546&lt;50,D546&gt;400,E546&lt;0,E546&gt;200),"REVIEW","OK"))</x:f>
        <x:v>OK</x:v>
      </x:c>
    </x:row>
    <x:row r="547">
      <x:c r="A547" s="31" t="n">
        <x:v>546</x:v>
      </x:c>
      <x:c r="B547" s="32" t="n">
        <x:v>46310.39641203704</x:v>
      </x:c>
      <x:c r="C547" s="33" t="n">
        <x:v>24.141</x:v>
      </x:c>
      <x:c r="D547" s="33" t="n">
        <x:v>206.093</x:v>
      </x:c>
      <x:c r="E547" s="33" t="n">
        <x:v>81.031</x:v>
      </x:c>
      <x:c r="F547" s="31" t="str"/>
      <x:c r="G547" s="31" t="str">
        <x:f>IF(C547="","NO DATA",IF(C547&gt;=30,"ALERT","NORMAL"))</x:f>
        <x:v>NORMAL</x:v>
      </x:c>
      <x:c r="H547" s="31" t="str">
        <x:f>IF(C547="","MISSING",IF(C547&gt;=30,"HIGH TEMP","OK"))</x:f>
        <x:v>OK</x:v>
      </x:c>
      <x:c r="I547" s="31" t="str">
        <x:f>IF(E547="","NO DATA",IF(E547&lt;20,"LOW FLOW","OK"))</x:f>
        <x:v>OK</x:v>
      </x:c>
      <x:c r="J547" s="31" t="str">
        <x:f>IF(OR(C547="",D547="",E547=""),"MISSING",IF(OR(C547&lt;0,C547&gt;60,D547&lt;50,D547&gt;400,E547&lt;0,E547&gt;200),"REVIEW","OK"))</x:f>
        <x:v>OK</x:v>
      </x:c>
    </x:row>
    <x:row r="548">
      <x:c r="A548" s="31" t="n">
        <x:v>547</x:v>
      </x:c>
      <x:c r="B548" s="32" t="n">
        <x:v>46310.396527777775</x:v>
      </x:c>
      <x:c r="C548" s="33" t="n">
        <x:v>24.179</x:v>
      </x:c>
      <x:c r="D548" s="33" t="n">
        <x:v>206.014</x:v>
      </x:c>
      <x:c r="E548" s="33" t="n">
        <x:v>81.99</x:v>
      </x:c>
      <x:c r="F548" s="31" t="str"/>
      <x:c r="G548" s="31" t="str">
        <x:f>IF(C548="","NO DATA",IF(C548&gt;=30,"ALERT","NORMAL"))</x:f>
        <x:v>NORMAL</x:v>
      </x:c>
      <x:c r="H548" s="31" t="str">
        <x:f>IF(C548="","MISSING",IF(C548&gt;=30,"HIGH TEMP","OK"))</x:f>
        <x:v>OK</x:v>
      </x:c>
      <x:c r="I548" s="31" t="str">
        <x:f>IF(E548="","NO DATA",IF(E548&lt;20,"LOW FLOW","OK"))</x:f>
        <x:v>OK</x:v>
      </x:c>
      <x:c r="J548" s="31" t="str">
        <x:f>IF(OR(C548="",D548="",E548=""),"MISSING",IF(OR(C548&lt;0,C548&gt;60,D548&lt;50,D548&gt;400,E548&lt;0,E548&gt;200),"REVIEW","OK"))</x:f>
        <x:v>OK</x:v>
      </x:c>
    </x:row>
    <x:row r="549">
      <x:c r="A549" s="31" t="n">
        <x:v>548</x:v>
      </x:c>
      <x:c r="B549" s="32" t="n">
        <x:v>46310.39664351852</x:v>
      </x:c>
      <x:c r="C549" s="33" t="n">
        <x:v>24.124</x:v>
      </x:c>
      <x:c r="D549" s="33" t="n">
        <x:v>207.057</x:v>
      </x:c>
      <x:c r="E549" s="33" t="n">
        <x:v>80.881</x:v>
      </x:c>
      <x:c r="F549" s="31" t="str"/>
      <x:c r="G549" s="31" t="str">
        <x:f>IF(C549="","NO DATA",IF(C549&gt;=30,"ALERT","NORMAL"))</x:f>
        <x:v>NORMAL</x:v>
      </x:c>
      <x:c r="H549" s="31" t="str">
        <x:f>IF(C549="","MISSING",IF(C549&gt;=30,"HIGH TEMP","OK"))</x:f>
        <x:v>OK</x:v>
      </x:c>
      <x:c r="I549" s="31" t="str">
        <x:f>IF(E549="","NO DATA",IF(E549&lt;20,"LOW FLOW","OK"))</x:f>
        <x:v>OK</x:v>
      </x:c>
      <x:c r="J549" s="31" t="str">
        <x:f>IF(OR(C549="",D549="",E549=""),"MISSING",IF(OR(C549&lt;0,C549&gt;60,D549&lt;50,D549&gt;400,E549&lt;0,E549&gt;200),"REVIEW","OK"))</x:f>
        <x:v>OK</x:v>
      </x:c>
    </x:row>
    <x:row r="550">
      <x:c r="A550" s="31" t="n">
        <x:v>549</x:v>
      </x:c>
      <x:c r="B550" s="32" t="n">
        <x:v>46310.39675925926</x:v>
      </x:c>
      <x:c r="C550" s="33" t="n">
        <x:v>24.006</x:v>
      </x:c>
      <x:c r="D550" s="33" t="n">
        <x:v>206.525</x:v>
      </x:c>
      <x:c r="E550" s="33" t="n">
        <x:v>80.602</x:v>
      </x:c>
      <x:c r="F550" s="31" t="str"/>
      <x:c r="G550" s="31" t="str">
        <x:f>IF(C550="","NO DATA",IF(C550&gt;=30,"ALERT","NORMAL"))</x:f>
        <x:v>NORMAL</x:v>
      </x:c>
      <x:c r="H550" s="31" t="str">
        <x:f>IF(C550="","MISSING",IF(C550&gt;=30,"HIGH TEMP","OK"))</x:f>
        <x:v>OK</x:v>
      </x:c>
      <x:c r="I550" s="31" t="str">
        <x:f>IF(E550="","NO DATA",IF(E550&lt;20,"LOW FLOW","OK"))</x:f>
        <x:v>OK</x:v>
      </x:c>
      <x:c r="J550" s="31" t="str">
        <x:f>IF(OR(C550="",D550="",E550=""),"MISSING",IF(OR(C550&lt;0,C550&gt;60,D550&lt;50,D550&gt;400,E550&lt;0,E550&gt;200),"REVIEW","OK"))</x:f>
        <x:v>OK</x:v>
      </x:c>
    </x:row>
    <x:row r="551">
      <x:c r="A551" s="31" t="n">
        <x:v>550</x:v>
      </x:c>
      <x:c r="B551" s="32" t="n">
        <x:v>46310.396875</x:v>
      </x:c>
      <x:c r="C551" s="33" t="n">
        <x:v>24.032</x:v>
      </x:c>
      <x:c r="D551" s="33" t="n">
        <x:v>205.086</x:v>
      </x:c>
      <x:c r="E551" s="33" t="n">
        <x:v>81.478</x:v>
      </x:c>
      <x:c r="F551" s="31" t="str"/>
      <x:c r="G551" s="31" t="str">
        <x:f>IF(C551="","NO DATA",IF(C551&gt;=30,"ALERT","NORMAL"))</x:f>
        <x:v>NORMAL</x:v>
      </x:c>
      <x:c r="H551" s="31" t="str">
        <x:f>IF(C551="","MISSING",IF(C551&gt;=30,"HIGH TEMP","OK"))</x:f>
        <x:v>OK</x:v>
      </x:c>
      <x:c r="I551" s="31" t="str">
        <x:f>IF(E551="","NO DATA",IF(E551&lt;20,"LOW FLOW","OK"))</x:f>
        <x:v>OK</x:v>
      </x:c>
      <x:c r="J551" s="31" t="str">
        <x:f>IF(OR(C551="",D551="",E551=""),"MISSING",IF(OR(C551&lt;0,C551&gt;60,D551&lt;50,D551&gt;400,E551&lt;0,E551&gt;200),"REVIEW","OK"))</x:f>
        <x:v>OK</x:v>
      </x:c>
    </x:row>
    <x:row r="552">
      <x:c r="A552" s="31" t="n">
        <x:v>551</x:v>
      </x:c>
      <x:c r="B552" s="32" t="n">
        <x:v>46310.39699074074</x:v>
      </x:c>
      <x:c r="C552" s="33" t="n">
        <x:v>24.075</x:v>
      </x:c>
      <x:c r="D552" s="33" t="n">
        <x:v>205.761</x:v>
      </x:c>
      <x:c r="E552" s="33" t="n">
        <x:v>82.777</x:v>
      </x:c>
      <x:c r="F552" s="31" t="str"/>
      <x:c r="G552" s="31" t="str">
        <x:f>IF(C552="","NO DATA",IF(C552&gt;=30,"ALERT","NORMAL"))</x:f>
        <x:v>NORMAL</x:v>
      </x:c>
      <x:c r="H552" s="31" t="str">
        <x:f>IF(C552="","MISSING",IF(C552&gt;=30,"HIGH TEMP","OK"))</x:f>
        <x:v>OK</x:v>
      </x:c>
      <x:c r="I552" s="31" t="str">
        <x:f>IF(E552="","NO DATA",IF(E552&lt;20,"LOW FLOW","OK"))</x:f>
        <x:v>OK</x:v>
      </x:c>
      <x:c r="J552" s="31" t="str">
        <x:f>IF(OR(C552="",D552="",E552=""),"MISSING",IF(OR(C552&lt;0,C552&gt;60,D552&lt;50,D552&gt;400,E552&lt;0,E552&gt;200),"REVIEW","OK"))</x:f>
        <x:v>OK</x:v>
      </x:c>
    </x:row>
    <x:row r="553">
      <x:c r="A553" s="31" t="n">
        <x:v>552</x:v>
      </x:c>
      <x:c r="B553" s="32" t="n">
        <x:v>46310.39710648148</x:v>
      </x:c>
      <x:c r="C553" s="33" t="n">
        <x:v>24.03</x:v>
      </x:c>
      <x:c r="D553" s="33" t="n">
        <x:v>205.337</x:v>
      </x:c>
      <x:c r="E553" s="33" t="n">
        <x:v>82.879</x:v>
      </x:c>
      <x:c r="F553" s="31" t="str"/>
      <x:c r="G553" s="31" t="str">
        <x:f>IF(C553="","NO DATA",IF(C553&gt;=30,"ALERT","NORMAL"))</x:f>
        <x:v>NORMAL</x:v>
      </x:c>
      <x:c r="H553" s="31" t="str">
        <x:f>IF(C553="","MISSING",IF(C553&gt;=30,"HIGH TEMP","OK"))</x:f>
        <x:v>OK</x:v>
      </x:c>
      <x:c r="I553" s="31" t="str">
        <x:f>IF(E553="","NO DATA",IF(E553&lt;20,"LOW FLOW","OK"))</x:f>
        <x:v>OK</x:v>
      </x:c>
      <x:c r="J553" s="31" t="str">
        <x:f>IF(OR(C553="",D553="",E553=""),"MISSING",IF(OR(C553&lt;0,C553&gt;60,D553&lt;50,D553&gt;400,E553&lt;0,E553&gt;200),"REVIEW","OK"))</x:f>
        <x:v>OK</x:v>
      </x:c>
    </x:row>
    <x:row r="554">
      <x:c r="A554" s="31" t="n">
        <x:v>553</x:v>
      </x:c>
      <x:c r="B554" s="32" t="n">
        <x:v>46310.39722222222</x:v>
      </x:c>
      <x:c r="C554" s="33" t="n">
        <x:v>23.924</x:v>
      </x:c>
      <x:c r="D554" s="33" t="n">
        <x:v>207.429</x:v>
      </x:c>
      <x:c r="E554" s="33" t="n">
        <x:v>81.488</x:v>
      </x:c>
      <x:c r="F554" s="31" t="str"/>
      <x:c r="G554" s="31" t="str">
        <x:f>IF(C554="","NO DATA",IF(C554&gt;=30,"ALERT","NORMAL"))</x:f>
        <x:v>NORMAL</x:v>
      </x:c>
      <x:c r="H554" s="31" t="str">
        <x:f>IF(C554="","MISSING",IF(C554&gt;=30,"HIGH TEMP","OK"))</x:f>
        <x:v>OK</x:v>
      </x:c>
      <x:c r="I554" s="31" t="str">
        <x:f>IF(E554="","NO DATA",IF(E554&lt;20,"LOW FLOW","OK"))</x:f>
        <x:v>OK</x:v>
      </x:c>
      <x:c r="J554" s="31" t="str">
        <x:f>IF(OR(C554="",D554="",E554=""),"MISSING",IF(OR(C554&lt;0,C554&gt;60,D554&lt;50,D554&gt;400,E554&lt;0,E554&gt;200),"REVIEW","OK"))</x:f>
        <x:v>OK</x:v>
      </x:c>
    </x:row>
    <x:row r="555">
      <x:c r="A555" s="31" t="n">
        <x:v>554</x:v>
      </x:c>
      <x:c r="B555" s="32" t="n">
        <x:v>46310.39733796296</x:v>
      </x:c>
      <x:c r="C555" s="33" t="n">
        <x:v>24.067</x:v>
      </x:c>
      <x:c r="D555" s="33" t="n">
        <x:v>207.376</x:v>
      </x:c>
      <x:c r="E555" s="33" t="n">
        <x:v>81.289</x:v>
      </x:c>
      <x:c r="F555" s="31" t="str"/>
      <x:c r="G555" s="31" t="str">
        <x:f>IF(C555="","NO DATA",IF(C555&gt;=30,"ALERT","NORMAL"))</x:f>
        <x:v>NORMAL</x:v>
      </x:c>
      <x:c r="H555" s="31" t="str">
        <x:f>IF(C555="","MISSING",IF(C555&gt;=30,"HIGH TEMP","OK"))</x:f>
        <x:v>OK</x:v>
      </x:c>
      <x:c r="I555" s="31" t="str">
        <x:f>IF(E555="","NO DATA",IF(E555&lt;20,"LOW FLOW","OK"))</x:f>
        <x:v>OK</x:v>
      </x:c>
      <x:c r="J555" s="31" t="str">
        <x:f>IF(OR(C555="",D555="",E555=""),"MISSING",IF(OR(C555&lt;0,C555&gt;60,D555&lt;50,D555&gt;400,E555&lt;0,E555&gt;200),"REVIEW","OK"))</x:f>
        <x:v>OK</x:v>
      </x:c>
    </x:row>
    <x:row r="556">
      <x:c r="A556" s="31" t="n">
        <x:v>555</x:v>
      </x:c>
      <x:c r="B556" s="32" t="n">
        <x:v>46310.39745370371</x:v>
      </x:c>
      <x:c r="C556" s="33" t="n">
        <x:v>23.919</x:v>
      </x:c>
      <x:c r="D556" s="33" t="n">
        <x:v>206.681</x:v>
      </x:c>
      <x:c r="E556" s="33" t="n">
        <x:v>81.056</x:v>
      </x:c>
      <x:c r="F556" s="31" t="str"/>
      <x:c r="G556" s="31" t="str">
        <x:f>IF(C556="","NO DATA",IF(C556&gt;=30,"ALERT","NORMAL"))</x:f>
        <x:v>NORMAL</x:v>
      </x:c>
      <x:c r="H556" s="31" t="str">
        <x:f>IF(C556="","MISSING",IF(C556&gt;=30,"HIGH TEMP","OK"))</x:f>
        <x:v>OK</x:v>
      </x:c>
      <x:c r="I556" s="31" t="str">
        <x:f>IF(E556="","NO DATA",IF(E556&lt;20,"LOW FLOW","OK"))</x:f>
        <x:v>OK</x:v>
      </x:c>
      <x:c r="J556" s="31" t="str">
        <x:f>IF(OR(C556="",D556="",E556=""),"MISSING",IF(OR(C556&lt;0,C556&gt;60,D556&lt;50,D556&gt;400,E556&lt;0,E556&gt;200),"REVIEW","OK"))</x:f>
        <x:v>OK</x:v>
      </x:c>
    </x:row>
    <x:row r="557">
      <x:c r="A557" s="31" t="n">
        <x:v>556</x:v>
      </x:c>
      <x:c r="B557" s="32" t="n">
        <x:v>46310.397569444445</x:v>
      </x:c>
      <x:c r="C557" s="33" t="n">
        <x:v>23.787</x:v>
      </x:c>
      <x:c r="D557" s="33" t="n">
        <x:v>206.254</x:v>
      </x:c>
      <x:c r="E557" s="33" t="n">
        <x:v>82.22</x:v>
      </x:c>
      <x:c r="F557" s="31" t="str"/>
      <x:c r="G557" s="31" t="str">
        <x:f>IF(C557="","NO DATA",IF(C557&gt;=30,"ALERT","NORMAL"))</x:f>
        <x:v>NORMAL</x:v>
      </x:c>
      <x:c r="H557" s="31" t="str">
        <x:f>IF(C557="","MISSING",IF(C557&gt;=30,"HIGH TEMP","OK"))</x:f>
        <x:v>OK</x:v>
      </x:c>
      <x:c r="I557" s="31" t="str">
        <x:f>IF(E557="","NO DATA",IF(E557&lt;20,"LOW FLOW","OK"))</x:f>
        <x:v>OK</x:v>
      </x:c>
      <x:c r="J557" s="31" t="str">
        <x:f>IF(OR(C557="",D557="",E557=""),"MISSING",IF(OR(C557&lt;0,C557&gt;60,D557&lt;50,D557&gt;400,E557&lt;0,E557&gt;200),"REVIEW","OK"))</x:f>
        <x:v>OK</x:v>
      </x:c>
    </x:row>
    <x:row r="558">
      <x:c r="A558" s="31" t="n">
        <x:v>557</x:v>
      </x:c>
      <x:c r="B558" s="32" t="n">
        <x:v>46310.397685185184</x:v>
      </x:c>
      <x:c r="C558" s="33" t="n">
        <x:v>23.864</x:v>
      </x:c>
      <x:c r="D558" s="33" t="n">
        <x:v>207.151</x:v>
      </x:c>
      <x:c r="E558" s="33" t="n">
        <x:v>82.456</x:v>
      </x:c>
      <x:c r="F558" s="31" t="str"/>
      <x:c r="G558" s="31" t="str">
        <x:f>IF(C558="","NO DATA",IF(C558&gt;=30,"ALERT","NORMAL"))</x:f>
        <x:v>NORMAL</x:v>
      </x:c>
      <x:c r="H558" s="31" t="str">
        <x:f>IF(C558="","MISSING",IF(C558&gt;=30,"HIGH TEMP","OK"))</x:f>
        <x:v>OK</x:v>
      </x:c>
      <x:c r="I558" s="31" t="str">
        <x:f>IF(E558="","NO DATA",IF(E558&lt;20,"LOW FLOW","OK"))</x:f>
        <x:v>OK</x:v>
      </x:c>
      <x:c r="J558" s="31" t="str">
        <x:f>IF(OR(C558="",D558="",E558=""),"MISSING",IF(OR(C558&lt;0,C558&gt;60,D558&lt;50,D558&gt;400,E558&lt;0,E558&gt;200),"REVIEW","OK"))</x:f>
        <x:v>OK</x:v>
      </x:c>
    </x:row>
    <x:row r="559">
      <x:c r="A559" s="31" t="n">
        <x:v>558</x:v>
      </x:c>
      <x:c r="B559" s="32" t="n">
        <x:v>46310.39780092592</x:v>
      </x:c>
      <x:c r="C559" s="33" t="n">
        <x:v>23.806</x:v>
      </x:c>
      <x:c r="D559" s="33" t="n">
        <x:v>207.252</x:v>
      </x:c>
      <x:c r="E559" s="33" t="n">
        <x:v>81.743</x:v>
      </x:c>
      <x:c r="F559" s="31" t="str"/>
      <x:c r="G559" s="31" t="str">
        <x:f>IF(C559="","NO DATA",IF(C559&gt;=30,"ALERT","NORMAL"))</x:f>
        <x:v>NORMAL</x:v>
      </x:c>
      <x:c r="H559" s="31" t="str">
        <x:f>IF(C559="","MISSING",IF(C559&gt;=30,"HIGH TEMP","OK"))</x:f>
        <x:v>OK</x:v>
      </x:c>
      <x:c r="I559" s="31" t="str">
        <x:f>IF(E559="","NO DATA",IF(E559&lt;20,"LOW FLOW","OK"))</x:f>
        <x:v>OK</x:v>
      </x:c>
      <x:c r="J559" s="31" t="str">
        <x:f>IF(OR(C559="",D559="",E559=""),"MISSING",IF(OR(C559&lt;0,C559&gt;60,D559&lt;50,D559&gt;400,E559&lt;0,E559&gt;200),"REVIEW","OK"))</x:f>
        <x:v>OK</x:v>
      </x:c>
    </x:row>
    <x:row r="560">
      <x:c r="A560" s="31" t="n">
        <x:v>559</x:v>
      </x:c>
      <x:c r="B560" s="32" t="n">
        <x:v>46310.39791666667</x:v>
      </x:c>
      <x:c r="C560" s="33" t="n">
        <x:v>23.986</x:v>
      </x:c>
      <x:c r="D560" s="33" t="n">
        <x:v>207.714</x:v>
      </x:c>
      <x:c r="E560" s="33" t="n">
        <x:v>82.205</x:v>
      </x:c>
      <x:c r="F560" s="31" t="str"/>
      <x:c r="G560" s="31" t="str">
        <x:f>IF(C560="","NO DATA",IF(C560&gt;=30,"ALERT","NORMAL"))</x:f>
        <x:v>NORMAL</x:v>
      </x:c>
      <x:c r="H560" s="31" t="str">
        <x:f>IF(C560="","MISSING",IF(C560&gt;=30,"HIGH TEMP","OK"))</x:f>
        <x:v>OK</x:v>
      </x:c>
      <x:c r="I560" s="31" t="str">
        <x:f>IF(E560="","NO DATA",IF(E560&lt;20,"LOW FLOW","OK"))</x:f>
        <x:v>OK</x:v>
      </x:c>
      <x:c r="J560" s="31" t="str">
        <x:f>IF(OR(C560="",D560="",E560=""),"MISSING",IF(OR(C560&lt;0,C560&gt;60,D560&lt;50,D560&gt;400,E560&lt;0,E560&gt;200),"REVIEW","OK"))</x:f>
        <x:v>OK</x:v>
      </x:c>
    </x:row>
    <x:row r="561">
      <x:c r="A561" s="31" t="n">
        <x:v>560</x:v>
      </x:c>
      <x:c r="B561" s="32" t="n">
        <x:v>46310.39803240741</x:v>
      </x:c>
      <x:c r="C561" s="33" t="n">
        <x:v>23.771</x:v>
      </x:c>
      <x:c r="D561" s="33" t="n">
        <x:v>208.068</x:v>
      </x:c>
      <x:c r="E561" s="33" t="n">
        <x:v>82.896</x:v>
      </x:c>
      <x:c r="F561" s="31" t="str"/>
      <x:c r="G561" s="31" t="str">
        <x:f>IF(C561="","NO DATA",IF(C561&gt;=30,"ALERT","NORMAL"))</x:f>
        <x:v>NORMAL</x:v>
      </x:c>
      <x:c r="H561" s="31" t="str">
        <x:f>IF(C561="","MISSING",IF(C561&gt;=30,"HIGH TEMP","OK"))</x:f>
        <x:v>OK</x:v>
      </x:c>
      <x:c r="I561" s="31" t="str">
        <x:f>IF(E561="","NO DATA",IF(E561&lt;20,"LOW FLOW","OK"))</x:f>
        <x:v>OK</x:v>
      </x:c>
      <x:c r="J561" s="31" t="str">
        <x:f>IF(OR(C561="",D561="",E561=""),"MISSING",IF(OR(C561&lt;0,C561&gt;60,D561&lt;50,D561&gt;400,E561&lt;0,E561&gt;200),"REVIEW","OK"))</x:f>
        <x:v>OK</x:v>
      </x:c>
    </x:row>
    <x:row r="562">
      <x:c r="A562" s="31" t="n">
        <x:v>561</x:v>
      </x:c>
      <x:c r="B562" s="32" t="n">
        <x:v>46310.398148148146</x:v>
      </x:c>
      <x:c r="C562" s="33" t="n">
        <x:v>23.864</x:v>
      </x:c>
      <x:c r="D562" s="33" t="n">
        <x:v>206.572</x:v>
      </x:c>
      <x:c r="E562" s="33" t="n">
        <x:v>83.707</x:v>
      </x:c>
      <x:c r="F562" s="31" t="str"/>
      <x:c r="G562" s="31" t="str">
        <x:f>IF(C562="","NO DATA",IF(C562&gt;=30,"ALERT","NORMAL"))</x:f>
        <x:v>NORMAL</x:v>
      </x:c>
      <x:c r="H562" s="31" t="str">
        <x:f>IF(C562="","MISSING",IF(C562&gt;=30,"HIGH TEMP","OK"))</x:f>
        <x:v>OK</x:v>
      </x:c>
      <x:c r="I562" s="31" t="str">
        <x:f>IF(E562="","NO DATA",IF(E562&lt;20,"LOW FLOW","OK"))</x:f>
        <x:v>OK</x:v>
      </x:c>
      <x:c r="J562" s="31" t="str">
        <x:f>IF(OR(C562="",D562="",E562=""),"MISSING",IF(OR(C562&lt;0,C562&gt;60,D562&lt;50,D562&gt;400,E562&lt;0,E562&gt;200),"REVIEW","OK"))</x:f>
        <x:v>OK</x:v>
      </x:c>
    </x:row>
    <x:row r="563">
      <x:c r="A563" s="31" t="n">
        <x:v>562</x:v>
      </x:c>
      <x:c r="B563" s="32" t="n">
        <x:v>46310.39826388889</x:v>
      </x:c>
      <x:c r="C563" s="33" t="n">
        <x:v>23.744</x:v>
      </x:c>
      <x:c r="D563" s="33" t="n">
        <x:v>207.787</x:v>
      </x:c>
      <x:c r="E563" s="33" t="n">
        <x:v>84.229</x:v>
      </x:c>
      <x:c r="F563" s="31" t="str"/>
      <x:c r="G563" s="31" t="str">
        <x:f>IF(C563="","NO DATA",IF(C563&gt;=30,"ALERT","NORMAL"))</x:f>
        <x:v>NORMAL</x:v>
      </x:c>
      <x:c r="H563" s="31" t="str">
        <x:f>IF(C563="","MISSING",IF(C563&gt;=30,"HIGH TEMP","OK"))</x:f>
        <x:v>OK</x:v>
      </x:c>
      <x:c r="I563" s="31" t="str">
        <x:f>IF(E563="","NO DATA",IF(E563&lt;20,"LOW FLOW","OK"))</x:f>
        <x:v>OK</x:v>
      </x:c>
      <x:c r="J563" s="31" t="str">
        <x:f>IF(OR(C563="",D563="",E563=""),"MISSING",IF(OR(C563&lt;0,C563&gt;60,D563&lt;50,D563&gt;400,E563&lt;0,E563&gt;200),"REVIEW","OK"))</x:f>
        <x:v>OK</x:v>
      </x:c>
    </x:row>
    <x:row r="564">
      <x:c r="A564" s="31" t="n">
        <x:v>563</x:v>
      </x:c>
      <x:c r="B564" s="32" t="n">
        <x:v>46310.39837962963</x:v>
      </x:c>
      <x:c r="C564" s="33" t="n">
        <x:v>23.79</x:v>
      </x:c>
      <x:c r="D564" s="33" t="n">
        <x:v>208.251</x:v>
      </x:c>
      <x:c r="E564" s="33" t="n">
        <x:v>83.744</x:v>
      </x:c>
      <x:c r="F564" s="31" t="str"/>
      <x:c r="G564" s="31" t="str">
        <x:f>IF(C564="","NO DATA",IF(C564&gt;=30,"ALERT","NORMAL"))</x:f>
        <x:v>NORMAL</x:v>
      </x:c>
      <x:c r="H564" s="31" t="str">
        <x:f>IF(C564="","MISSING",IF(C564&gt;=30,"HIGH TEMP","OK"))</x:f>
        <x:v>OK</x:v>
      </x:c>
      <x:c r="I564" s="31" t="str">
        <x:f>IF(E564="","NO DATA",IF(E564&lt;20,"LOW FLOW","OK"))</x:f>
        <x:v>OK</x:v>
      </x:c>
      <x:c r="J564" s="31" t="str">
        <x:f>IF(OR(C564="",D564="",E564=""),"MISSING",IF(OR(C564&lt;0,C564&gt;60,D564&lt;50,D564&gt;400,E564&lt;0,E564&gt;200),"REVIEW","OK"))</x:f>
        <x:v>OK</x:v>
      </x:c>
    </x:row>
    <x:row r="565">
      <x:c r="A565" s="31" t="n">
        <x:v>564</x:v>
      </x:c>
      <x:c r="B565" s="32" t="n">
        <x:v>46310.39849537037</x:v>
      </x:c>
      <x:c r="C565" s="33" t="n">
        <x:v>23.804</x:v>
      </x:c>
      <x:c r="D565" s="33" t="n">
        <x:v>206.039</x:v>
      </x:c>
      <x:c r="E565" s="33" t="n">
        <x:v>83.266</x:v>
      </x:c>
      <x:c r="F565" s="31" t="str"/>
      <x:c r="G565" s="31" t="str">
        <x:f>IF(C565="","NO DATA",IF(C565&gt;=30,"ALERT","NORMAL"))</x:f>
        <x:v>NORMAL</x:v>
      </x:c>
      <x:c r="H565" s="31" t="str">
        <x:f>IF(C565="","MISSING",IF(C565&gt;=30,"HIGH TEMP","OK"))</x:f>
        <x:v>OK</x:v>
      </x:c>
      <x:c r="I565" s="31" t="str">
        <x:f>IF(E565="","NO DATA",IF(E565&lt;20,"LOW FLOW","OK"))</x:f>
        <x:v>OK</x:v>
      </x:c>
      <x:c r="J565" s="31" t="str">
        <x:f>IF(OR(C565="",D565="",E565=""),"MISSING",IF(OR(C565&lt;0,C565&gt;60,D565&lt;50,D565&gt;400,E565&lt;0,E565&gt;200),"REVIEW","OK"))</x:f>
        <x:v>OK</x:v>
      </x:c>
    </x:row>
    <x:row r="566">
      <x:c r="A566" s="31" t="n">
        <x:v>565</x:v>
      </x:c>
      <x:c r="B566" s="32" t="n">
        <x:v>46310.39861111111</x:v>
      </x:c>
      <x:c r="C566" s="33" t="n">
        <x:v>23.871</x:v>
      </x:c>
      <x:c r="D566" s="33" t="n">
        <x:v>208.409</x:v>
      </x:c>
      <x:c r="E566" s="33" t="n">
        <x:v>84.111</x:v>
      </x:c>
      <x:c r="F566" s="31" t="str"/>
      <x:c r="G566" s="31" t="str">
        <x:f>IF(C566="","NO DATA",IF(C566&gt;=30,"ALERT","NORMAL"))</x:f>
        <x:v>NORMAL</x:v>
      </x:c>
      <x:c r="H566" s="31" t="str">
        <x:f>IF(C566="","MISSING",IF(C566&gt;=30,"HIGH TEMP","OK"))</x:f>
        <x:v>OK</x:v>
      </x:c>
      <x:c r="I566" s="31" t="str">
        <x:f>IF(E566="","NO DATA",IF(E566&lt;20,"LOW FLOW","OK"))</x:f>
        <x:v>OK</x:v>
      </x:c>
      <x:c r="J566" s="31" t="str">
        <x:f>IF(OR(C566="",D566="",E566=""),"MISSING",IF(OR(C566&lt;0,C566&gt;60,D566&lt;50,D566&gt;400,E566&lt;0,E566&gt;200),"REVIEW","OK"))</x:f>
        <x:v>OK</x:v>
      </x:c>
    </x:row>
    <x:row r="567">
      <x:c r="A567" s="31" t="n">
        <x:v>566</x:v>
      </x:c>
      <x:c r="B567" s="32" t="n">
        <x:v>46310.398726851854</x:v>
      </x:c>
      <x:c r="C567" s="33" t="n">
        <x:v>23.737</x:v>
      </x:c>
      <x:c r="D567" s="33" t="n">
        <x:v>208.328</x:v>
      </x:c>
      <x:c r="E567" s="33" t="n">
        <x:v>83.766</x:v>
      </x:c>
      <x:c r="F567" s="31" t="str"/>
      <x:c r="G567" s="31" t="str">
        <x:f>IF(C567="","NO DATA",IF(C567&gt;=30,"ALERT","NORMAL"))</x:f>
        <x:v>NORMAL</x:v>
      </x:c>
      <x:c r="H567" s="31" t="str">
        <x:f>IF(C567="","MISSING",IF(C567&gt;=30,"HIGH TEMP","OK"))</x:f>
        <x:v>OK</x:v>
      </x:c>
      <x:c r="I567" s="31" t="str">
        <x:f>IF(E567="","NO DATA",IF(E567&lt;20,"LOW FLOW","OK"))</x:f>
        <x:v>OK</x:v>
      </x:c>
      <x:c r="J567" s="31" t="str">
        <x:f>IF(OR(C567="",D567="",E567=""),"MISSING",IF(OR(C567&lt;0,C567&gt;60,D567&lt;50,D567&gt;400,E567&lt;0,E567&gt;200),"REVIEW","OK"))</x:f>
        <x:v>OK</x:v>
      </x:c>
    </x:row>
    <x:row r="568">
      <x:c r="A568" s="31" t="n">
        <x:v>567</x:v>
      </x:c>
      <x:c r="B568" s="32" t="n">
        <x:v>46310.39884259259</x:v>
      </x:c>
      <x:c r="C568" s="33" t="n">
        <x:v>23.599</x:v>
      </x:c>
      <x:c r="D568" s="33" t="n">
        <x:v>208.157</x:v>
      </x:c>
      <x:c r="E568" s="33" t="n">
        <x:v>83.968</x:v>
      </x:c>
      <x:c r="F568" s="31" t="str"/>
      <x:c r="G568" s="31" t="str">
        <x:f>IF(C568="","NO DATA",IF(C568&gt;=30,"ALERT","NORMAL"))</x:f>
        <x:v>NORMAL</x:v>
      </x:c>
      <x:c r="H568" s="31" t="str">
        <x:f>IF(C568="","MISSING",IF(C568&gt;=30,"HIGH TEMP","OK"))</x:f>
        <x:v>OK</x:v>
      </x:c>
      <x:c r="I568" s="31" t="str">
        <x:f>IF(E568="","NO DATA",IF(E568&lt;20,"LOW FLOW","OK"))</x:f>
        <x:v>OK</x:v>
      </x:c>
      <x:c r="J568" s="31" t="str">
        <x:f>IF(OR(C568="",D568="",E568=""),"MISSING",IF(OR(C568&lt;0,C568&gt;60,D568&lt;50,D568&gt;400,E568&lt;0,E568&gt;200),"REVIEW","OK"))</x:f>
        <x:v>OK</x:v>
      </x:c>
    </x:row>
    <x:row r="569">
      <x:c r="A569" s="31" t="n">
        <x:v>568</x:v>
      </x:c>
      <x:c r="B569" s="32" t="n">
        <x:v>46310.39895833333</x:v>
      </x:c>
      <x:c r="C569" s="33" t="n">
        <x:v>23.785</x:v>
      </x:c>
      <x:c r="D569" s="33" t="n">
        <x:v>206.821</x:v>
      </x:c>
      <x:c r="E569" s="33" t="n">
        <x:v>84.225</x:v>
      </x:c>
      <x:c r="F569" s="31" t="str"/>
      <x:c r="G569" s="31" t="str">
        <x:f>IF(C569="","NO DATA",IF(C569&gt;=30,"ALERT","NORMAL"))</x:f>
        <x:v>NORMAL</x:v>
      </x:c>
      <x:c r="H569" s="31" t="str">
        <x:f>IF(C569="","MISSING",IF(C569&gt;=30,"HIGH TEMP","OK"))</x:f>
        <x:v>OK</x:v>
      </x:c>
      <x:c r="I569" s="31" t="str">
        <x:f>IF(E569="","NO DATA",IF(E569&lt;20,"LOW FLOW","OK"))</x:f>
        <x:v>OK</x:v>
      </x:c>
      <x:c r="J569" s="31" t="str">
        <x:f>IF(OR(C569="",D569="",E569=""),"MISSING",IF(OR(C569&lt;0,C569&gt;60,D569&lt;50,D569&gt;400,E569&lt;0,E569&gt;200),"REVIEW","OK"))</x:f>
        <x:v>OK</x:v>
      </x:c>
    </x:row>
    <x:row r="570">
      <x:c r="A570" s="31" t="n">
        <x:v>569</x:v>
      </x:c>
      <x:c r="B570" s="32" t="n">
        <x:v>46310.39907407408</x:v>
      </x:c>
      <x:c r="C570" s="33" t="n">
        <x:v>23.526</x:v>
      </x:c>
      <x:c r="D570" s="33" t="n">
        <x:v>209.333</x:v>
      </x:c>
      <x:c r="E570" s="33" t="n">
        <x:v>82.963</x:v>
      </x:c>
      <x:c r="F570" s="31" t="str"/>
      <x:c r="G570" s="31" t="str">
        <x:f>IF(C570="","NO DATA",IF(C570&gt;=30,"ALERT","NORMAL"))</x:f>
        <x:v>NORMAL</x:v>
      </x:c>
      <x:c r="H570" s="31" t="str">
        <x:f>IF(C570="","MISSING",IF(C570&gt;=30,"HIGH TEMP","OK"))</x:f>
        <x:v>OK</x:v>
      </x:c>
      <x:c r="I570" s="31" t="str">
        <x:f>IF(E570="","NO DATA",IF(E570&lt;20,"LOW FLOW","OK"))</x:f>
        <x:v>OK</x:v>
      </x:c>
      <x:c r="J570" s="31" t="str">
        <x:f>IF(OR(C570="",D570="",E570=""),"MISSING",IF(OR(C570&lt;0,C570&gt;60,D570&lt;50,D570&gt;400,E570&lt;0,E570&gt;200),"REVIEW","OK"))</x:f>
        <x:v>OK</x:v>
      </x:c>
    </x:row>
    <x:row r="571">
      <x:c r="A571" s="31" t="n">
        <x:v>570</x:v>
      </x:c>
      <x:c r="B571" s="32" t="n">
        <x:v>46310.399189814816</x:v>
      </x:c>
      <x:c r="C571" s="33" t="n">
        <x:v>23.508</x:v>
      </x:c>
      <x:c r="D571" s="33" t="n">
        <x:v>207.542</x:v>
      </x:c>
      <x:c r="E571" s="33" t="n">
        <x:v>83.166</x:v>
      </x:c>
      <x:c r="F571" s="31" t="str"/>
      <x:c r="G571" s="31" t="str">
        <x:f>IF(C571="","NO DATA",IF(C571&gt;=30,"ALERT","NORMAL"))</x:f>
        <x:v>NORMAL</x:v>
      </x:c>
      <x:c r="H571" s="31" t="str">
        <x:f>IF(C571="","MISSING",IF(C571&gt;=30,"HIGH TEMP","OK"))</x:f>
        <x:v>OK</x:v>
      </x:c>
      <x:c r="I571" s="31" t="str">
        <x:f>IF(E571="","NO DATA",IF(E571&lt;20,"LOW FLOW","OK"))</x:f>
        <x:v>OK</x:v>
      </x:c>
      <x:c r="J571" s="31" t="str">
        <x:f>IF(OR(C571="",D571="",E571=""),"MISSING",IF(OR(C571&lt;0,C571&gt;60,D571&lt;50,D571&gt;400,E571&lt;0,E571&gt;200),"REVIEW","OK"))</x:f>
        <x:v>OK</x:v>
      </x:c>
    </x:row>
    <x:row r="572">
      <x:c r="A572" s="31" t="n">
        <x:v>571</x:v>
      </x:c>
      <x:c r="B572" s="32" t="n">
        <x:v>46310.399305555555</x:v>
      </x:c>
      <x:c r="C572" s="33" t="n">
        <x:v>23.695</x:v>
      </x:c>
      <x:c r="D572" s="33" t="n">
        <x:v>207.947</x:v>
      </x:c>
      <x:c r="E572" s="33" t="n">
        <x:v>84.762</x:v>
      </x:c>
      <x:c r="F572" s="31" t="str"/>
      <x:c r="G572" s="31" t="str">
        <x:f>IF(C572="","NO DATA",IF(C572&gt;=30,"ALERT","NORMAL"))</x:f>
        <x:v>NORMAL</x:v>
      </x:c>
      <x:c r="H572" s="31" t="str">
        <x:f>IF(C572="","MISSING",IF(C572&gt;=30,"HIGH TEMP","OK"))</x:f>
        <x:v>OK</x:v>
      </x:c>
      <x:c r="I572" s="31" t="str">
        <x:f>IF(E572="","NO DATA",IF(E572&lt;20,"LOW FLOW","OK"))</x:f>
        <x:v>OK</x:v>
      </x:c>
      <x:c r="J572" s="31" t="str">
        <x:f>IF(OR(C572="",D572="",E572=""),"MISSING",IF(OR(C572&lt;0,C572&gt;60,D572&lt;50,D572&gt;400,E572&lt;0,E572&gt;200),"REVIEW","OK"))</x:f>
        <x:v>OK</x:v>
      </x:c>
    </x:row>
    <x:row r="573">
      <x:c r="A573" s="31" t="n">
        <x:v>572</x:v>
      </x:c>
      <x:c r="B573" s="32" t="n">
        <x:v>46310.39942129629</x:v>
      </x:c>
      <x:c r="C573" s="33" t="n">
        <x:v>23.751</x:v>
      </x:c>
      <x:c r="D573" s="33" t="n">
        <x:v>209.45</x:v>
      </x:c>
      <x:c r="E573" s="33" t="n">
        <x:v>84.763</x:v>
      </x:c>
      <x:c r="F573" s="31" t="str"/>
      <x:c r="G573" s="31" t="str">
        <x:f>IF(C573="","NO DATA",IF(C573&gt;=30,"ALERT","NORMAL"))</x:f>
        <x:v>NORMAL</x:v>
      </x:c>
      <x:c r="H573" s="31" t="str">
        <x:f>IF(C573="","MISSING",IF(C573&gt;=30,"HIGH TEMP","OK"))</x:f>
        <x:v>OK</x:v>
      </x:c>
      <x:c r="I573" s="31" t="str">
        <x:f>IF(E573="","NO DATA",IF(E573&lt;20,"LOW FLOW","OK"))</x:f>
        <x:v>OK</x:v>
      </x:c>
      <x:c r="J573" s="31" t="str">
        <x:f>IF(OR(C573="",D573="",E573=""),"MISSING",IF(OR(C573&lt;0,C573&gt;60,D573&lt;50,D573&gt;400,E573&lt;0,E573&gt;200),"REVIEW","OK"))</x:f>
        <x:v>OK</x:v>
      </x:c>
    </x:row>
    <x:row r="574">
      <x:c r="A574" s="31" t="n">
        <x:v>573</x:v>
      </x:c>
      <x:c r="B574" s="32" t="n">
        <x:v>46310.39953703704</x:v>
      </x:c>
      <x:c r="C574" s="33" t="n">
        <x:v>23.481</x:v>
      </x:c>
      <x:c r="D574" s="33" t="n">
        <x:v>207.364</x:v>
      </x:c>
      <x:c r="E574" s="33" t="n">
        <x:v>83.585</x:v>
      </x:c>
      <x:c r="F574" s="31" t="str"/>
      <x:c r="G574" s="31" t="str">
        <x:f>IF(C574="","NO DATA",IF(C574&gt;=30,"ALERT","NORMAL"))</x:f>
        <x:v>NORMAL</x:v>
      </x:c>
      <x:c r="H574" s="31" t="str">
        <x:f>IF(C574="","MISSING",IF(C574&gt;=30,"HIGH TEMP","OK"))</x:f>
        <x:v>OK</x:v>
      </x:c>
      <x:c r="I574" s="31" t="str">
        <x:f>IF(E574="","NO DATA",IF(E574&lt;20,"LOW FLOW","OK"))</x:f>
        <x:v>OK</x:v>
      </x:c>
      <x:c r="J574" s="31" t="str">
        <x:f>IF(OR(C574="",D574="",E574=""),"MISSING",IF(OR(C574&lt;0,C574&gt;60,D574&lt;50,D574&gt;400,E574&lt;0,E574&gt;200),"REVIEW","OK"))</x:f>
        <x:v>OK</x:v>
      </x:c>
    </x:row>
    <x:row r="575">
      <x:c r="A575" s="31" t="n">
        <x:v>574</x:v>
      </x:c>
      <x:c r="B575" s="32" t="n">
        <x:v>46310.39965277778</x:v>
      </x:c>
      <x:c r="C575" s="33" t="n">
        <x:v>23.547</x:v>
      </x:c>
      <x:c r="D575" s="33" t="n">
        <x:v>209.056</x:v>
      </x:c>
      <x:c r="E575" s="33" t="n">
        <x:v>84.435</x:v>
      </x:c>
      <x:c r="F575" s="31" t="str"/>
      <x:c r="G575" s="31" t="str">
        <x:f>IF(C575="","NO DATA",IF(C575&gt;=30,"ALERT","NORMAL"))</x:f>
        <x:v>NORMAL</x:v>
      </x:c>
      <x:c r="H575" s="31" t="str">
        <x:f>IF(C575="","MISSING",IF(C575&gt;=30,"HIGH TEMP","OK"))</x:f>
        <x:v>OK</x:v>
      </x:c>
      <x:c r="I575" s="31" t="str">
        <x:f>IF(E575="","NO DATA",IF(E575&lt;20,"LOW FLOW","OK"))</x:f>
        <x:v>OK</x:v>
      </x:c>
      <x:c r="J575" s="31" t="str">
        <x:f>IF(OR(C575="",D575="",E575=""),"MISSING",IF(OR(C575&lt;0,C575&gt;60,D575&lt;50,D575&gt;400,E575&lt;0,E575&gt;200),"REVIEW","OK"))</x:f>
        <x:v>OK</x:v>
      </x:c>
    </x:row>
    <x:row r="576">
      <x:c r="A576" s="31" t="n">
        <x:v>575</x:v>
      </x:c>
      <x:c r="B576" s="32" t="n">
        <x:v>46310.39976851852</x:v>
      </x:c>
      <x:c r="C576" s="33" t="n">
        <x:v>23.532</x:v>
      </x:c>
      <x:c r="D576" s="33" t="n">
        <x:v>207.71</x:v>
      </x:c>
      <x:c r="E576" s="33" t="n">
        <x:v>85.444</x:v>
      </x:c>
      <x:c r="F576" s="31" t="str"/>
      <x:c r="G576" s="31" t="str">
        <x:f>IF(C576="","NO DATA",IF(C576&gt;=30,"ALERT","NORMAL"))</x:f>
        <x:v>NORMAL</x:v>
      </x:c>
      <x:c r="H576" s="31" t="str">
        <x:f>IF(C576="","MISSING",IF(C576&gt;=30,"HIGH TEMP","OK"))</x:f>
        <x:v>OK</x:v>
      </x:c>
      <x:c r="I576" s="31" t="str">
        <x:f>IF(E576="","NO DATA",IF(E576&lt;20,"LOW FLOW","OK"))</x:f>
        <x:v>OK</x:v>
      </x:c>
      <x:c r="J576" s="31" t="str">
        <x:f>IF(OR(C576="",D576="",E576=""),"MISSING",IF(OR(C576&lt;0,C576&gt;60,D576&lt;50,D576&gt;400,E576&lt;0,E576&gt;200),"REVIEW","OK"))</x:f>
        <x:v>OK</x:v>
      </x:c>
    </x:row>
    <x:row r="577">
      <x:c r="A577" s="31" t="n">
        <x:v>576</x:v>
      </x:c>
      <x:c r="B577" s="32" t="n">
        <x:v>46310.39988425926</x:v>
      </x:c>
      <x:c r="C577" s="33" t="n">
        <x:v>23.53</x:v>
      </x:c>
      <x:c r="D577" s="33" t="n">
        <x:v>208.376</x:v>
      </x:c>
      <x:c r="E577" s="33" t="n">
        <x:v>85.183</x:v>
      </x:c>
      <x:c r="F577" s="31" t="str"/>
      <x:c r="G577" s="31" t="str">
        <x:f>IF(C577="","NO DATA",IF(C577&gt;=30,"ALERT","NORMAL"))</x:f>
        <x:v>NORMAL</x:v>
      </x:c>
      <x:c r="H577" s="31" t="str">
        <x:f>IF(C577="","MISSING",IF(C577&gt;=30,"HIGH TEMP","OK"))</x:f>
        <x:v>OK</x:v>
      </x:c>
      <x:c r="I577" s="31" t="str">
        <x:f>IF(E577="","NO DATA",IF(E577&lt;20,"LOW FLOW","OK"))</x:f>
        <x:v>OK</x:v>
      </x:c>
      <x:c r="J577" s="31" t="str">
        <x:f>IF(OR(C577="",D577="",E577=""),"MISSING",IF(OR(C577&lt;0,C577&gt;60,D577&lt;50,D577&gt;400,E577&lt;0,E577&gt;200),"REVIEW","OK"))</x:f>
        <x:v>OK</x:v>
      </x:c>
    </x:row>
    <x:row r="578">
      <x:c r="A578" s="31" t="n">
        <x:v>577</x:v>
      </x:c>
      <x:c r="B578" s="32" t="n">
        <x:v>46310.4</x:v>
      </x:c>
      <x:c r="C578" s="33" t="n">
        <x:v>23.633</x:v>
      </x:c>
      <x:c r="D578" s="33" t="n">
        <x:v>209.367</x:v>
      </x:c>
      <x:c r="E578" s="33" t="n">
        <x:v>85.065</x:v>
      </x:c>
      <x:c r="F578" s="31" t="str"/>
      <x:c r="G578" s="31" t="str">
        <x:f>IF(C578="","NO DATA",IF(C578&gt;=30,"ALERT","NORMAL"))</x:f>
        <x:v>NORMAL</x:v>
      </x:c>
      <x:c r="H578" s="31" t="str">
        <x:f>IF(C578="","MISSING",IF(C578&gt;=30,"HIGH TEMP","OK"))</x:f>
        <x:v>OK</x:v>
      </x:c>
      <x:c r="I578" s="31" t="str">
        <x:f>IF(E578="","NO DATA",IF(E578&lt;20,"LOW FLOW","OK"))</x:f>
        <x:v>OK</x:v>
      </x:c>
      <x:c r="J578" s="31" t="str">
        <x:f>IF(OR(C578="",D578="",E578=""),"MISSING",IF(OR(C578&lt;0,C578&gt;60,D578&lt;50,D578&gt;400,E578&lt;0,E578&gt;200),"REVIEW","OK"))</x:f>
        <x:v>OK</x:v>
      </x:c>
    </x:row>
    <x:row r="579">
      <x:c r="A579" s="31" t="n">
        <x:v>578</x:v>
      </x:c>
      <x:c r="B579" s="32" t="n">
        <x:v>46310.40011574074</x:v>
      </x:c>
      <x:c r="C579" s="33" t="n">
        <x:v>23.59</x:v>
      </x:c>
      <x:c r="D579" s="33" t="n">
        <x:v>208.139</x:v>
      </x:c>
      <x:c r="E579" s="33" t="n">
        <x:v>84.058</x:v>
      </x:c>
      <x:c r="F579" s="31" t="str"/>
      <x:c r="G579" s="31" t="str">
        <x:f>IF(C579="","NO DATA",IF(C579&gt;=30,"ALERT","NORMAL"))</x:f>
        <x:v>NORMAL</x:v>
      </x:c>
      <x:c r="H579" s="31" t="str">
        <x:f>IF(C579="","MISSING",IF(C579&gt;=30,"HIGH TEMP","OK"))</x:f>
        <x:v>OK</x:v>
      </x:c>
      <x:c r="I579" s="31" t="str">
        <x:f>IF(E579="","NO DATA",IF(E579&lt;20,"LOW FLOW","OK"))</x:f>
        <x:v>OK</x:v>
      </x:c>
      <x:c r="J579" s="31" t="str">
        <x:f>IF(OR(C579="",D579="",E579=""),"MISSING",IF(OR(C579&lt;0,C579&gt;60,D579&lt;50,D579&gt;400,E579&lt;0,E579&gt;200),"REVIEW","OK"))</x:f>
        <x:v>OK</x:v>
      </x:c>
    </x:row>
    <x:row r="580">
      <x:c r="A580" s="31" t="n">
        <x:v>579</x:v>
      </x:c>
      <x:c r="B580" s="32" t="n">
        <x:v>46310.40023148148</x:v>
      </x:c>
      <x:c r="C580" s="33" t="n">
        <x:v>23.565</x:v>
      </x:c>
      <x:c r="D580" s="33" t="n">
        <x:v>208.363</x:v>
      </x:c>
      <x:c r="E580" s="33" t="n">
        <x:v>85.861</x:v>
      </x:c>
      <x:c r="F580" s="31" t="str"/>
      <x:c r="G580" s="31" t="str">
        <x:f>IF(C580="","NO DATA",IF(C580&gt;=30,"ALERT","NORMAL"))</x:f>
        <x:v>NORMAL</x:v>
      </x:c>
      <x:c r="H580" s="31" t="str">
        <x:f>IF(C580="","MISSING",IF(C580&gt;=30,"HIGH TEMP","OK"))</x:f>
        <x:v>OK</x:v>
      </x:c>
      <x:c r="I580" s="31" t="str">
        <x:f>IF(E580="","NO DATA",IF(E580&lt;20,"LOW FLOW","OK"))</x:f>
        <x:v>OK</x:v>
      </x:c>
      <x:c r="J580" s="31" t="str">
        <x:f>IF(OR(C580="",D580="",E580=""),"MISSING",IF(OR(C580&lt;0,C580&gt;60,D580&lt;50,D580&gt;400,E580&lt;0,E580&gt;200),"REVIEW","OK"))</x:f>
        <x:v>OK</x:v>
      </x:c>
    </x:row>
    <x:row r="581">
      <x:c r="A581" s="31" t="n">
        <x:v>580</x:v>
      </x:c>
      <x:c r="B581" s="32" t="n">
        <x:v>46310.400347222225</x:v>
      </x:c>
      <x:c r="C581" s="33" t="n">
        <x:v>23.479</x:v>
      </x:c>
      <x:c r="D581" s="33" t="n">
        <x:v>208.682</x:v>
      </x:c>
      <x:c r="E581" s="33" t="n">
        <x:v>84.077</x:v>
      </x:c>
      <x:c r="F581" s="31" t="str"/>
      <x:c r="G581" s="31" t="str">
        <x:f>IF(C581="","NO DATA",IF(C581&gt;=30,"ALERT","NORMAL"))</x:f>
        <x:v>NORMAL</x:v>
      </x:c>
      <x:c r="H581" s="31" t="str">
        <x:f>IF(C581="","MISSING",IF(C581&gt;=30,"HIGH TEMP","OK"))</x:f>
        <x:v>OK</x:v>
      </x:c>
      <x:c r="I581" s="31" t="str">
        <x:f>IF(E581="","NO DATA",IF(E581&lt;20,"LOW FLOW","OK"))</x:f>
        <x:v>OK</x:v>
      </x:c>
      <x:c r="J581" s="31" t="str">
        <x:f>IF(OR(C581="",D581="",E581=""),"MISSING",IF(OR(C581&lt;0,C581&gt;60,D581&lt;50,D581&gt;400,E581&lt;0,E581&gt;200),"REVIEW","OK"))</x:f>
        <x:v>OK</x:v>
      </x:c>
    </x:row>
    <x:row r="582">
      <x:c r="A582" s="31" t="n">
        <x:v>581</x:v>
      </x:c>
      <x:c r="B582" s="32" t="n">
        <x:v>46310.40046296296</x:v>
      </x:c>
      <x:c r="C582" s="33" t="n">
        <x:v>23.594</x:v>
      </x:c>
      <x:c r="D582" s="33" t="n">
        <x:v>208.893</x:v>
      </x:c>
      <x:c r="E582" s="33" t="n">
        <x:v>84.465</x:v>
      </x:c>
      <x:c r="F582" s="31" t="str"/>
      <x:c r="G582" s="31" t="str">
        <x:f>IF(C582="","NO DATA",IF(C582&gt;=30,"ALERT","NORMAL"))</x:f>
        <x:v>NORMAL</x:v>
      </x:c>
      <x:c r="H582" s="31" t="str">
        <x:f>IF(C582="","MISSING",IF(C582&gt;=30,"HIGH TEMP","OK"))</x:f>
        <x:v>OK</x:v>
      </x:c>
      <x:c r="I582" s="31" t="str">
        <x:f>IF(E582="","NO DATA",IF(E582&lt;20,"LOW FLOW","OK"))</x:f>
        <x:v>OK</x:v>
      </x:c>
      <x:c r="J582" s="31" t="str">
        <x:f>IF(OR(C582="",D582="",E582=""),"MISSING",IF(OR(C582&lt;0,C582&gt;60,D582&lt;50,D582&gt;400,E582&lt;0,E582&gt;200),"REVIEW","OK"))</x:f>
        <x:v>OK</x:v>
      </x:c>
    </x:row>
    <x:row r="583">
      <x:c r="A583" s="31" t="n">
        <x:v>582</x:v>
      </x:c>
      <x:c r="B583" s="32" t="n">
        <x:v>46310.4005787037</x:v>
      </x:c>
      <x:c r="C583" s="33" t="n">
        <x:v>23.656</x:v>
      </x:c>
      <x:c r="D583" s="33" t="n">
        <x:v>210.457</x:v>
      </x:c>
      <x:c r="E583" s="33" t="n">
        <x:v>84.327</x:v>
      </x:c>
      <x:c r="F583" s="31" t="str"/>
      <x:c r="G583" s="31" t="str">
        <x:f>IF(C583="","NO DATA",IF(C583&gt;=30,"ALERT","NORMAL"))</x:f>
        <x:v>NORMAL</x:v>
      </x:c>
      <x:c r="H583" s="31" t="str">
        <x:f>IF(C583="","MISSING",IF(C583&gt;=30,"HIGH TEMP","OK"))</x:f>
        <x:v>OK</x:v>
      </x:c>
      <x:c r="I583" s="31" t="str">
        <x:f>IF(E583="","NO DATA",IF(E583&lt;20,"LOW FLOW","OK"))</x:f>
        <x:v>OK</x:v>
      </x:c>
      <x:c r="J583" s="31" t="str">
        <x:f>IF(OR(C583="",D583="",E583=""),"MISSING",IF(OR(C583&lt;0,C583&gt;60,D583&lt;50,D583&gt;400,E583&lt;0,E583&gt;200),"REVIEW","OK"))</x:f>
        <x:v>OK</x:v>
      </x:c>
    </x:row>
    <x:row r="584">
      <x:c r="A584" s="31" t="n">
        <x:v>583</x:v>
      </x:c>
      <x:c r="B584" s="32" t="n">
        <x:v>46310.40069444444</x:v>
      </x:c>
      <x:c r="C584" s="33" t="n">
        <x:v>23.406</x:v>
      </x:c>
      <x:c r="D584" s="33" t="n">
        <x:v>210.229</x:v>
      </x:c>
      <x:c r="E584" s="33" t="n">
        <x:v>84.619</x:v>
      </x:c>
      <x:c r="F584" s="31" t="str"/>
      <x:c r="G584" s="31" t="str">
        <x:f>IF(C584="","NO DATA",IF(C584&gt;=30,"ALERT","NORMAL"))</x:f>
        <x:v>NORMAL</x:v>
      </x:c>
      <x:c r="H584" s="31" t="str">
        <x:f>IF(C584="","MISSING",IF(C584&gt;=30,"HIGH TEMP","OK"))</x:f>
        <x:v>OK</x:v>
      </x:c>
      <x:c r="I584" s="31" t="str">
        <x:f>IF(E584="","NO DATA",IF(E584&lt;20,"LOW FLOW","OK"))</x:f>
        <x:v>OK</x:v>
      </x:c>
      <x:c r="J584" s="31" t="str">
        <x:f>IF(OR(C584="",D584="",E584=""),"MISSING",IF(OR(C584&lt;0,C584&gt;60,D584&lt;50,D584&gt;400,E584&lt;0,E584&gt;200),"REVIEW","OK"))</x:f>
        <x:v>OK</x:v>
      </x:c>
    </x:row>
    <x:row r="585">
      <x:c r="A585" s="31" t="n">
        <x:v>584</x:v>
      </x:c>
      <x:c r="B585" s="32" t="n">
        <x:v>46310.40081018519</x:v>
      </x:c>
      <x:c r="C585" s="33" t="n">
        <x:v>23.659</x:v>
      </x:c>
      <x:c r="D585" s="33" t="n">
        <x:v>210.783</x:v>
      </x:c>
      <x:c r="E585" s="33" t="n">
        <x:v>86.029</x:v>
      </x:c>
      <x:c r="F585" s="31" t="str"/>
      <x:c r="G585" s="31" t="str">
        <x:f>IF(C585="","NO DATA",IF(C585&gt;=30,"ALERT","NORMAL"))</x:f>
        <x:v>NORMAL</x:v>
      </x:c>
      <x:c r="H585" s="31" t="str">
        <x:f>IF(C585="","MISSING",IF(C585&gt;=30,"HIGH TEMP","OK"))</x:f>
        <x:v>OK</x:v>
      </x:c>
      <x:c r="I585" s="31" t="str">
        <x:f>IF(E585="","NO DATA",IF(E585&lt;20,"LOW FLOW","OK"))</x:f>
        <x:v>OK</x:v>
      </x:c>
      <x:c r="J585" s="31" t="str">
        <x:f>IF(OR(C585="",D585="",E585=""),"MISSING",IF(OR(C585&lt;0,C585&gt;60,D585&lt;50,D585&gt;400,E585&lt;0,E585&gt;200),"REVIEW","OK"))</x:f>
        <x:v>OK</x:v>
      </x:c>
    </x:row>
    <x:row r="586">
      <x:c r="A586" s="31" t="n">
        <x:v>585</x:v>
      </x:c>
      <x:c r="B586" s="32" t="n">
        <x:v>46310.400925925926</x:v>
      </x:c>
      <x:c r="C586" s="33" t="n">
        <x:v>23.602</x:v>
      </x:c>
      <x:c r="D586" s="33" t="n">
        <x:v>209.328</x:v>
      </x:c>
      <x:c r="E586" s="33" t="n">
        <x:v>84.453</x:v>
      </x:c>
      <x:c r="F586" s="31" t="str"/>
      <x:c r="G586" s="31" t="str">
        <x:f>IF(C586="","NO DATA",IF(C586&gt;=30,"ALERT","NORMAL"))</x:f>
        <x:v>NORMAL</x:v>
      </x:c>
      <x:c r="H586" s="31" t="str">
        <x:f>IF(C586="","MISSING",IF(C586&gt;=30,"HIGH TEMP","OK"))</x:f>
        <x:v>OK</x:v>
      </x:c>
      <x:c r="I586" s="31" t="str">
        <x:f>IF(E586="","NO DATA",IF(E586&lt;20,"LOW FLOW","OK"))</x:f>
        <x:v>OK</x:v>
      </x:c>
      <x:c r="J586" s="31" t="str">
        <x:f>IF(OR(C586="",D586="",E586=""),"MISSING",IF(OR(C586&lt;0,C586&gt;60,D586&lt;50,D586&gt;400,E586&lt;0,E586&gt;200),"REVIEW","OK"))</x:f>
        <x:v>OK</x:v>
      </x:c>
    </x:row>
    <x:row r="587">
      <x:c r="A587" s="31" t="n">
        <x:v>586</x:v>
      </x:c>
      <x:c r="B587" s="32" t="n">
        <x:v>46310.401041666664</x:v>
      </x:c>
      <x:c r="C587" s="33" t="n">
        <x:v>23.571</x:v>
      </x:c>
      <x:c r="D587" s="33" t="n">
        <x:v>209.625</x:v>
      </x:c>
      <x:c r="E587" s="33" t="n">
        <x:v>84.843</x:v>
      </x:c>
      <x:c r="F587" s="31" t="str"/>
      <x:c r="G587" s="31" t="str">
        <x:f>IF(C587="","NO DATA",IF(C587&gt;=30,"ALERT","NORMAL"))</x:f>
        <x:v>NORMAL</x:v>
      </x:c>
      <x:c r="H587" s="31" t="str">
        <x:f>IF(C587="","MISSING",IF(C587&gt;=30,"HIGH TEMP","OK"))</x:f>
        <x:v>OK</x:v>
      </x:c>
      <x:c r="I587" s="31" t="str">
        <x:f>IF(E587="","NO DATA",IF(E587&lt;20,"LOW FLOW","OK"))</x:f>
        <x:v>OK</x:v>
      </x:c>
      <x:c r="J587" s="31" t="str">
        <x:f>IF(OR(C587="",D587="",E587=""),"MISSING",IF(OR(C587&lt;0,C587&gt;60,D587&lt;50,D587&gt;400,E587&lt;0,E587&gt;200),"REVIEW","OK"))</x:f>
        <x:v>OK</x:v>
      </x:c>
    </x:row>
    <x:row r="588">
      <x:c r="A588" s="31" t="n">
        <x:v>587</x:v>
      </x:c>
      <x:c r="B588" s="32" t="n">
        <x:v>46310.40115740741</x:v>
      </x:c>
      <x:c r="C588" s="33" t="n">
        <x:v>23.431</x:v>
      </x:c>
      <x:c r="D588" s="33" t="n">
        <x:v>210.152</x:v>
      </x:c>
      <x:c r="E588" s="33" t="n">
        <x:v>84.278</x:v>
      </x:c>
      <x:c r="F588" s="31" t="str"/>
      <x:c r="G588" s="31" t="str">
        <x:f>IF(C588="","NO DATA",IF(C588&gt;=30,"ALERT","NORMAL"))</x:f>
        <x:v>NORMAL</x:v>
      </x:c>
      <x:c r="H588" s="31" t="str">
        <x:f>IF(C588="","MISSING",IF(C588&gt;=30,"HIGH TEMP","OK"))</x:f>
        <x:v>OK</x:v>
      </x:c>
      <x:c r="I588" s="31" t="str">
        <x:f>IF(E588="","NO DATA",IF(E588&lt;20,"LOW FLOW","OK"))</x:f>
        <x:v>OK</x:v>
      </x:c>
      <x:c r="J588" s="31" t="str">
        <x:f>IF(OR(C588="",D588="",E588=""),"MISSING",IF(OR(C588&lt;0,C588&gt;60,D588&lt;50,D588&gt;400,E588&lt;0,E588&gt;200),"REVIEW","OK"))</x:f>
        <x:v>OK</x:v>
      </x:c>
    </x:row>
    <x:row r="589">
      <x:c r="A589" s="31" t="n">
        <x:v>588</x:v>
      </x:c>
      <x:c r="B589" s="32" t="n">
        <x:v>46310.40127314815</x:v>
      </x:c>
      <x:c r="C589" s="33" t="n">
        <x:v>23.513</x:v>
      </x:c>
      <x:c r="D589" s="33" t="n">
        <x:v>211.642</x:v>
      </x:c>
      <x:c r="E589" s="33" t="n">
        <x:v>85.47</x:v>
      </x:c>
      <x:c r="F589" s="31" t="str"/>
      <x:c r="G589" s="31" t="str">
        <x:f>IF(C589="","NO DATA",IF(C589&gt;=30,"ALERT","NORMAL"))</x:f>
        <x:v>NORMAL</x:v>
      </x:c>
      <x:c r="H589" s="31" t="str">
        <x:f>IF(C589="","MISSING",IF(C589&gt;=30,"HIGH TEMP","OK"))</x:f>
        <x:v>OK</x:v>
      </x:c>
      <x:c r="I589" s="31" t="str">
        <x:f>IF(E589="","NO DATA",IF(E589&lt;20,"LOW FLOW","OK"))</x:f>
        <x:v>OK</x:v>
      </x:c>
      <x:c r="J589" s="31" t="str">
        <x:f>IF(OR(C589="",D589="",E589=""),"MISSING",IF(OR(C589&lt;0,C589&gt;60,D589&lt;50,D589&gt;400,E589&lt;0,E589&gt;200),"REVIEW","OK"))</x:f>
        <x:v>OK</x:v>
      </x:c>
    </x:row>
    <x:row r="590">
      <x:c r="A590" s="31" t="n">
        <x:v>589</x:v>
      </x:c>
      <x:c r="B590" s="32" t="n">
        <x:v>46310.40138888889</x:v>
      </x:c>
      <x:c r="C590" s="33" t="n">
        <x:v>23.392</x:v>
      </x:c>
      <x:c r="D590" s="33" t="n">
        <x:v>210.819</x:v>
      </x:c>
      <x:c r="E590" s="33" t="n">
        <x:v>85.208</x:v>
      </x:c>
      <x:c r="F590" s="31" t="str"/>
      <x:c r="G590" s="31" t="str">
        <x:f>IF(C590="","NO DATA",IF(C590&gt;=30,"ALERT","NORMAL"))</x:f>
        <x:v>NORMAL</x:v>
      </x:c>
      <x:c r="H590" s="31" t="str">
        <x:f>IF(C590="","MISSING",IF(C590&gt;=30,"HIGH TEMP","OK"))</x:f>
        <x:v>OK</x:v>
      </x:c>
      <x:c r="I590" s="31" t="str">
        <x:f>IF(E590="","NO DATA",IF(E590&lt;20,"LOW FLOW","OK"))</x:f>
        <x:v>OK</x:v>
      </x:c>
      <x:c r="J590" s="31" t="str">
        <x:f>IF(OR(C590="",D590="",E590=""),"MISSING",IF(OR(C590&lt;0,C590&gt;60,D590&lt;50,D590&gt;400,E590&lt;0,E590&gt;200),"REVIEW","OK"))</x:f>
        <x:v>OK</x:v>
      </x:c>
    </x:row>
    <x:row r="591">
      <x:c r="A591" s="31" t="n">
        <x:v>590</x:v>
      </x:c>
      <x:c r="B591" s="32" t="n">
        <x:v>46310.401504629626</x:v>
      </x:c>
      <x:c r="C591" s="33" t="n">
        <x:v>23.423</x:v>
      </x:c>
      <x:c r="D591" s="33" t="n">
        <x:v>211.109</x:v>
      </x:c>
      <x:c r="E591" s="33" t="n">
        <x:v>85.067</x:v>
      </x:c>
      <x:c r="F591" s="31" t="str"/>
      <x:c r="G591" s="31" t="str">
        <x:f>IF(C591="","NO DATA",IF(C591&gt;=30,"ALERT","NORMAL"))</x:f>
        <x:v>NORMAL</x:v>
      </x:c>
      <x:c r="H591" s="31" t="str">
        <x:f>IF(C591="","MISSING",IF(C591&gt;=30,"HIGH TEMP","OK"))</x:f>
        <x:v>OK</x:v>
      </x:c>
      <x:c r="I591" s="31" t="str">
        <x:f>IF(E591="","NO DATA",IF(E591&lt;20,"LOW FLOW","OK"))</x:f>
        <x:v>OK</x:v>
      </x:c>
      <x:c r="J591" s="31" t="str">
        <x:f>IF(OR(C591="",D591="",E591=""),"MISSING",IF(OR(C591&lt;0,C591&gt;60,D591&lt;50,D591&gt;400,E591&lt;0,E591&gt;200),"REVIEW","OK"))</x:f>
        <x:v>OK</x:v>
      </x:c>
    </x:row>
    <x:row r="592">
      <x:c r="A592" s="31" t="n">
        <x:v>591</x:v>
      </x:c>
      <x:c r="B592" s="32" t="n">
        <x:v>46310.40162037037</x:v>
      </x:c>
      <x:c r="C592" s="33" t="n">
        <x:v>23.542</x:v>
      </x:c>
      <x:c r="D592" s="33" t="n">
        <x:v>209.384</x:v>
      </x:c>
      <x:c r="E592" s="33" t="n">
        <x:v>84.772</x:v>
      </x:c>
      <x:c r="F592" s="31" t="str"/>
      <x:c r="G592" s="31" t="str">
        <x:f>IF(C592="","NO DATA",IF(C592&gt;=30,"ALERT","NORMAL"))</x:f>
        <x:v>NORMAL</x:v>
      </x:c>
      <x:c r="H592" s="31" t="str">
        <x:f>IF(C592="","MISSING",IF(C592&gt;=30,"HIGH TEMP","OK"))</x:f>
        <x:v>OK</x:v>
      </x:c>
      <x:c r="I592" s="31" t="str">
        <x:f>IF(E592="","NO DATA",IF(E592&lt;20,"LOW FLOW","OK"))</x:f>
        <x:v>OK</x:v>
      </x:c>
      <x:c r="J592" s="31" t="str">
        <x:f>IF(OR(C592="",D592="",E592=""),"MISSING",IF(OR(C592&lt;0,C592&gt;60,D592&lt;50,D592&gt;400,E592&lt;0,E592&gt;200),"REVIEW","OK"))</x:f>
        <x:v>OK</x:v>
      </x:c>
    </x:row>
    <x:row r="593">
      <x:c r="A593" s="31" t="n">
        <x:v>592</x:v>
      </x:c>
      <x:c r="B593" s="32" t="n">
        <x:v>46310.40173611111</x:v>
      </x:c>
      <x:c r="C593" s="33" t="n">
        <x:v>23.567</x:v>
      </x:c>
      <x:c r="D593" s="33" t="n">
        <x:v>209.655</x:v>
      </x:c>
      <x:c r="E593" s="33" t="n">
        <x:v>85.611</x:v>
      </x:c>
      <x:c r="F593" s="31" t="str"/>
      <x:c r="G593" s="31" t="str">
        <x:f>IF(C593="","NO DATA",IF(C593&gt;=30,"ALERT","NORMAL"))</x:f>
        <x:v>NORMAL</x:v>
      </x:c>
      <x:c r="H593" s="31" t="str">
        <x:f>IF(C593="","MISSING",IF(C593&gt;=30,"HIGH TEMP","OK"))</x:f>
        <x:v>OK</x:v>
      </x:c>
      <x:c r="I593" s="31" t="str">
        <x:f>IF(E593="","NO DATA",IF(E593&lt;20,"LOW FLOW","OK"))</x:f>
        <x:v>OK</x:v>
      </x:c>
      <x:c r="J593" s="31" t="str">
        <x:f>IF(OR(C593="",D593="",E593=""),"MISSING",IF(OR(C593&lt;0,C593&gt;60,D593&lt;50,D593&gt;400,E593&lt;0,E593&gt;200),"REVIEW","OK"))</x:f>
        <x:v>OK</x:v>
      </x:c>
    </x:row>
    <x:row r="594">
      <x:c r="A594" s="31" t="n">
        <x:v>593</x:v>
      </x:c>
      <x:c r="B594" s="32" t="n">
        <x:v>46310.40185185185</x:v>
      </x:c>
      <x:c r="C594" s="33" t="n">
        <x:v>23.355</x:v>
      </x:c>
      <x:c r="D594" s="33" t="n">
        <x:v>211.13</x:v>
      </x:c>
      <x:c r="E594" s="33" t="n">
        <x:v>85.967</x:v>
      </x:c>
      <x:c r="F594" s="31" t="str"/>
      <x:c r="G594" s="31" t="str">
        <x:f>IF(C594="","NO DATA",IF(C594&gt;=30,"ALERT","NORMAL"))</x:f>
        <x:v>NORMAL</x:v>
      </x:c>
      <x:c r="H594" s="31" t="str">
        <x:f>IF(C594="","MISSING",IF(C594&gt;=30,"HIGH TEMP","OK"))</x:f>
        <x:v>OK</x:v>
      </x:c>
      <x:c r="I594" s="31" t="str">
        <x:f>IF(E594="","NO DATA",IF(E594&lt;20,"LOW FLOW","OK"))</x:f>
        <x:v>OK</x:v>
      </x:c>
      <x:c r="J594" s="31" t="str">
        <x:f>IF(OR(C594="",D594="",E594=""),"MISSING",IF(OR(C594&lt;0,C594&gt;60,D594&lt;50,D594&gt;400,E594&lt;0,E594&gt;200),"REVIEW","OK"))</x:f>
        <x:v>OK</x:v>
      </x:c>
    </x:row>
    <x:row r="595">
      <x:c r="A595" s="31" t="n">
        <x:v>594</x:v>
      </x:c>
      <x:c r="B595" s="32" t="n">
        <x:v>46310.401967592596</x:v>
      </x:c>
      <x:c r="C595" s="33" t="n">
        <x:v>23.478</x:v>
      </x:c>
      <x:c r="D595" s="33" t="n">
        <x:v>212.409</x:v>
      </x:c>
      <x:c r="E595" s="33" t="n">
        <x:v>85.814</x:v>
      </x:c>
      <x:c r="F595" s="31" t="str"/>
      <x:c r="G595" s="31" t="str">
        <x:f>IF(C595="","NO DATA",IF(C595&gt;=30,"ALERT","NORMAL"))</x:f>
        <x:v>NORMAL</x:v>
      </x:c>
      <x:c r="H595" s="31" t="str">
        <x:f>IF(C595="","MISSING",IF(C595&gt;=30,"HIGH TEMP","OK"))</x:f>
        <x:v>OK</x:v>
      </x:c>
      <x:c r="I595" s="31" t="str">
        <x:f>IF(E595="","NO DATA",IF(E595&lt;20,"LOW FLOW","OK"))</x:f>
        <x:v>OK</x:v>
      </x:c>
      <x:c r="J595" s="31" t="str">
        <x:f>IF(OR(C595="",D595="",E595=""),"MISSING",IF(OR(C595&lt;0,C595&gt;60,D595&lt;50,D595&gt;400,E595&lt;0,E595&gt;200),"REVIEW","OK"))</x:f>
        <x:v>OK</x:v>
      </x:c>
    </x:row>
    <x:row r="596">
      <x:c r="A596" s="31" t="n">
        <x:v>595</x:v>
      </x:c>
      <x:c r="B596" s="32" t="n">
        <x:v>46310.402083333334</x:v>
      </x:c>
      <x:c r="C596" s="33" t="n">
        <x:v>23.503</x:v>
      </x:c>
      <x:c r="D596" s="33" t="n">
        <x:v>210.325</x:v>
      </x:c>
      <x:c r="E596" s="33" t="n">
        <x:v>85.983</x:v>
      </x:c>
      <x:c r="F596" s="31" t="str"/>
      <x:c r="G596" s="31" t="str">
        <x:f>IF(C596="","NO DATA",IF(C596&gt;=30,"ALERT","NORMAL"))</x:f>
        <x:v>NORMAL</x:v>
      </x:c>
      <x:c r="H596" s="31" t="str">
        <x:f>IF(C596="","MISSING",IF(C596&gt;=30,"HIGH TEMP","OK"))</x:f>
        <x:v>OK</x:v>
      </x:c>
      <x:c r="I596" s="31" t="str">
        <x:f>IF(E596="","NO DATA",IF(E596&lt;20,"LOW FLOW","OK"))</x:f>
        <x:v>OK</x:v>
      </x:c>
      <x:c r="J596" s="31" t="str">
        <x:f>IF(OR(C596="",D596="",E596=""),"MISSING",IF(OR(C596&lt;0,C596&gt;60,D596&lt;50,D596&gt;400,E596&lt;0,E596&gt;200),"REVIEW","OK"))</x:f>
        <x:v>OK</x:v>
      </x:c>
    </x:row>
    <x:row r="597">
      <x:c r="A597" s="31" t="n">
        <x:v>596</x:v>
      </x:c>
      <x:c r="B597" s="32" t="n">
        <x:v>46310.40219907407</x:v>
      </x:c>
      <x:c r="C597" s="33" t="n">
        <x:v>23.46</x:v>
      </x:c>
      <x:c r="D597" s="33" t="n">
        <x:v>211.787</x:v>
      </x:c>
      <x:c r="E597" s="33" t="n">
        <x:v>85.805</x:v>
      </x:c>
      <x:c r="F597" s="31" t="str"/>
      <x:c r="G597" s="31" t="str">
        <x:f>IF(C597="","NO DATA",IF(C597&gt;=30,"ALERT","NORMAL"))</x:f>
        <x:v>NORMAL</x:v>
      </x:c>
      <x:c r="H597" s="31" t="str">
        <x:f>IF(C597="","MISSING",IF(C597&gt;=30,"HIGH TEMP","OK"))</x:f>
        <x:v>OK</x:v>
      </x:c>
      <x:c r="I597" s="31" t="str">
        <x:f>IF(E597="","NO DATA",IF(E597&lt;20,"LOW FLOW","OK"))</x:f>
        <x:v>OK</x:v>
      </x:c>
      <x:c r="J597" s="31" t="str">
        <x:f>IF(OR(C597="",D597="",E597=""),"MISSING",IF(OR(C597&lt;0,C597&gt;60,D597&lt;50,D597&gt;400,E597&lt;0,E597&gt;200),"REVIEW","OK"))</x:f>
        <x:v>OK</x:v>
      </x:c>
    </x:row>
    <x:row r="598">
      <x:c r="A598" s="31" t="n">
        <x:v>597</x:v>
      </x:c>
      <x:c r="B598" s="32" t="n">
        <x:v>46310.40231481481</x:v>
      </x:c>
      <x:c r="C598" s="33" t="n">
        <x:v>23.396</x:v>
      </x:c>
      <x:c r="D598" s="33" t="n">
        <x:v>211.692</x:v>
      </x:c>
      <x:c r="E598" s="33" t="n">
        <x:v>84.862</x:v>
      </x:c>
      <x:c r="F598" s="31" t="str"/>
      <x:c r="G598" s="31" t="str">
        <x:f>IF(C598="","NO DATA",IF(C598&gt;=30,"ALERT","NORMAL"))</x:f>
        <x:v>NORMAL</x:v>
      </x:c>
      <x:c r="H598" s="31" t="str">
        <x:f>IF(C598="","MISSING",IF(C598&gt;=30,"HIGH TEMP","OK"))</x:f>
        <x:v>OK</x:v>
      </x:c>
      <x:c r="I598" s="31" t="str">
        <x:f>IF(E598="","NO DATA",IF(E598&lt;20,"LOW FLOW","OK"))</x:f>
        <x:v>OK</x:v>
      </x:c>
      <x:c r="J598" s="31" t="str">
        <x:f>IF(OR(C598="",D598="",E598=""),"MISSING",IF(OR(C598&lt;0,C598&gt;60,D598&lt;50,D598&gt;400,E598&lt;0,E598&gt;200),"REVIEW","OK"))</x:f>
        <x:v>OK</x:v>
      </x:c>
    </x:row>
    <x:row r="599">
      <x:c r="A599" s="31" t="n">
        <x:v>598</x:v>
      </x:c>
      <x:c r="B599" s="32" t="n">
        <x:v>46310.40243055556</x:v>
      </x:c>
      <x:c r="C599" s="33" t="n">
        <x:v>23.592</x:v>
      </x:c>
      <x:c r="D599" s="33" t="n">
        <x:v>212.899</x:v>
      </x:c>
      <x:c r="E599" s="33" t="n">
        <x:v>85.715</x:v>
      </x:c>
      <x:c r="F599" s="31" t="str"/>
      <x:c r="G599" s="31" t="str">
        <x:f>IF(C599="","NO DATA",IF(C599&gt;=30,"ALERT","NORMAL"))</x:f>
        <x:v>NORMAL</x:v>
      </x:c>
      <x:c r="H599" s="31" t="str">
        <x:f>IF(C599="","MISSING",IF(C599&gt;=30,"HIGH TEMP","OK"))</x:f>
        <x:v>OK</x:v>
      </x:c>
      <x:c r="I599" s="31" t="str">
        <x:f>IF(E599="","NO DATA",IF(E599&lt;20,"LOW FLOW","OK"))</x:f>
        <x:v>OK</x:v>
      </x:c>
      <x:c r="J599" s="31" t="str">
        <x:f>IF(OR(C599="",D599="",E599=""),"MISSING",IF(OR(C599&lt;0,C599&gt;60,D599&lt;50,D599&gt;400,E599&lt;0,E599&gt;200),"REVIEW","OK"))</x:f>
        <x:v>OK</x:v>
      </x:c>
    </x:row>
    <x:row r="600">
      <x:c r="A600" s="31" t="n">
        <x:v>599</x:v>
      </x:c>
      <x:c r="B600" s="32" t="n">
        <x:v>46310.402546296296</x:v>
      </x:c>
      <x:c r="C600" s="33" t="n">
        <x:v>23.434</x:v>
      </x:c>
      <x:c r="D600" s="33" t="n">
        <x:v>212.853</x:v>
      </x:c>
      <x:c r="E600" s="33" t="n">
        <x:v>83.885</x:v>
      </x:c>
      <x:c r="F600" s="31" t="str"/>
      <x:c r="G600" s="31" t="str">
        <x:f>IF(C600="","NO DATA",IF(C600&gt;=30,"ALERT","NORMAL"))</x:f>
        <x:v>NORMAL</x:v>
      </x:c>
      <x:c r="H600" s="31" t="str">
        <x:f>IF(C600="","MISSING",IF(C600&gt;=30,"HIGH TEMP","OK"))</x:f>
        <x:v>OK</x:v>
      </x:c>
      <x:c r="I600" s="31" t="str">
        <x:f>IF(E600="","NO DATA",IF(E600&lt;20,"LOW FLOW","OK"))</x:f>
        <x:v>OK</x:v>
      </x:c>
      <x:c r="J600" s="31" t="str">
        <x:f>IF(OR(C600="",D600="",E600=""),"MISSING",IF(OR(C600&lt;0,C600&gt;60,D600&lt;50,D600&gt;400,E600&lt;0,E600&gt;200),"REVIEW","OK"))</x:f>
        <x:v>OK</x:v>
      </x:c>
    </x:row>
    <x:row r="601">
      <x:c r="A601" s="31" t="n">
        <x:v>600</x:v>
      </x:c>
      <x:c r="B601" s="32" t="n">
        <x:v>46310.402662037035</x:v>
      </x:c>
      <x:c r="C601" s="33" t="n">
        <x:v>23.665</x:v>
      </x:c>
      <x:c r="D601" s="33" t="n">
        <x:v>213.314</x:v>
      </x:c>
      <x:c r="E601" s="33" t="n">
        <x:v>84.351</x:v>
      </x:c>
      <x:c r="F601" s="31" t="str"/>
      <x:c r="G601" s="31" t="str">
        <x:f>IF(C601="","NO DATA",IF(C601&gt;=30,"ALERT","NORMAL"))</x:f>
        <x:v>NORMAL</x:v>
      </x:c>
      <x:c r="H601" s="31" t="str">
        <x:f>IF(C601="","MISSING",IF(C601&gt;=30,"HIGH TEMP","OK"))</x:f>
        <x:v>OK</x:v>
      </x:c>
      <x:c r="I601" s="31" t="str">
        <x:f>IF(E601="","NO DATA",IF(E601&lt;20,"LOW FLOW","OK"))</x:f>
        <x:v>OK</x:v>
      </x:c>
      <x:c r="J601" s="31" t="str">
        <x:f>IF(OR(C601="",D601="",E601=""),"MISSING",IF(OR(C601&lt;0,C601&gt;60,D601&lt;50,D601&gt;400,E601&lt;0,E601&gt;200),"REVIEW","OK"))</x:f>
        <x:v>OK</x:v>
      </x:c>
    </x:row>
    <x:row r="602">
      <x:c r="A602" s="31" t="n">
        <x:v>601</x:v>
      </x:c>
      <x:c r="B602" s="32" t="n">
        <x:v>46310.40277777778</x:v>
      </x:c>
      <x:c r="C602" s="33" t="n">
        <x:v>23.546</x:v>
      </x:c>
      <x:c r="D602" s="33" t="n">
        <x:v>213.246</x:v>
      </x:c>
      <x:c r="E602" s="33" t="n">
        <x:v>85.636</x:v>
      </x:c>
      <x:c r="F602" s="31" t="str"/>
      <x:c r="G602" s="31" t="str">
        <x:f>IF(C602="","NO DATA",IF(C602&gt;=30,"ALERT","NORMAL"))</x:f>
        <x:v>NORMAL</x:v>
      </x:c>
      <x:c r="H602" s="31" t="str">
        <x:f>IF(C602="","MISSING",IF(C602&gt;=30,"HIGH TEMP","OK"))</x:f>
        <x:v>OK</x:v>
      </x:c>
      <x:c r="I602" s="31" t="str">
        <x:f>IF(E602="","NO DATA",IF(E602&lt;20,"LOW FLOW","OK"))</x:f>
        <x:v>OK</x:v>
      </x:c>
      <x:c r="J602" s="31" t="str">
        <x:f>IF(OR(C602="",D602="",E602=""),"MISSING",IF(OR(C602&lt;0,C602&gt;60,D602&lt;50,D602&gt;400,E602&lt;0,E602&gt;200),"REVIEW","OK"))</x:f>
        <x:v>OK</x:v>
      </x:c>
    </x:row>
    <x:row r="603">
      <x:c r="A603" s="31" t="n">
        <x:v>602</x:v>
      </x:c>
      <x:c r="B603" s="32" t="n">
        <x:v>46310.40289351852</x:v>
      </x:c>
      <x:c r="C603" s="33" t="n">
        <x:v>23.684</x:v>
      </x:c>
      <x:c r="D603" s="33" t="n">
        <x:v>213.178</x:v>
      </x:c>
      <x:c r="E603" s="33" t="n">
        <x:v>83.273</x:v>
      </x:c>
      <x:c r="F603" s="31" t="str"/>
      <x:c r="G603" s="31" t="str">
        <x:f>IF(C603="","NO DATA",IF(C603&gt;=30,"ALERT","NORMAL"))</x:f>
        <x:v>NORMAL</x:v>
      </x:c>
      <x:c r="H603" s="31" t="str">
        <x:f>IF(C603="","MISSING",IF(C603&gt;=30,"HIGH TEMP","OK"))</x:f>
        <x:v>OK</x:v>
      </x:c>
      <x:c r="I603" s="31" t="str">
        <x:f>IF(E603="","NO DATA",IF(E603&lt;20,"LOW FLOW","OK"))</x:f>
        <x:v>OK</x:v>
      </x:c>
      <x:c r="J603" s="31" t="str">
        <x:f>IF(OR(C603="",D603="",E603=""),"MISSING",IF(OR(C603&lt;0,C603&gt;60,D603&lt;50,D603&gt;400,E603&lt;0,E603&gt;200),"REVIEW","OK"))</x:f>
        <x:v>OK</x:v>
      </x:c>
    </x:row>
    <x:row r="604">
      <x:c r="A604" s="31" t="n">
        <x:v>603</x:v>
      </x:c>
      <x:c r="B604" s="32" t="n">
        <x:v>46310.40300925926</x:v>
      </x:c>
      <x:c r="C604" s="33" t="n">
        <x:v>23.586</x:v>
      </x:c>
      <x:c r="D604" s="33" t="n">
        <x:v>210.98</x:v>
      </x:c>
      <x:c r="E604" s="33" t="n">
        <x:v>85.529</x:v>
      </x:c>
      <x:c r="F604" s="31" t="str"/>
      <x:c r="G604" s="31" t="str">
        <x:f>IF(C604="","NO DATA",IF(C604&gt;=30,"ALERT","NORMAL"))</x:f>
        <x:v>NORMAL</x:v>
      </x:c>
      <x:c r="H604" s="31" t="str">
        <x:f>IF(C604="","MISSING",IF(C604&gt;=30,"HIGH TEMP","OK"))</x:f>
        <x:v>OK</x:v>
      </x:c>
      <x:c r="I604" s="31" t="str">
        <x:f>IF(E604="","NO DATA",IF(E604&lt;20,"LOW FLOW","OK"))</x:f>
        <x:v>OK</x:v>
      </x:c>
      <x:c r="J604" s="31" t="str">
        <x:f>IF(OR(C604="",D604="",E604=""),"MISSING",IF(OR(C604&lt;0,C604&gt;60,D604&lt;50,D604&gt;400,E604&lt;0,E604&gt;200),"REVIEW","OK"))</x:f>
        <x:v>OK</x:v>
      </x:c>
    </x:row>
    <x:row r="605">
      <x:c r="A605" s="31" t="n">
        <x:v>604</x:v>
      </x:c>
      <x:c r="B605" s="32" t="n">
        <x:v>46310.403125</x:v>
      </x:c>
      <x:c r="C605" s="33" t="n">
        <x:v>23.511</x:v>
      </x:c>
      <x:c r="D605" s="33" t="n">
        <x:v>213.733</x:v>
      </x:c>
      <x:c r="E605" s="33" t="n">
        <x:v>84.388</x:v>
      </x:c>
      <x:c r="F605" s="31" t="str"/>
      <x:c r="G605" s="31" t="str">
        <x:f>IF(C605="","NO DATA",IF(C605&gt;=30,"ALERT","NORMAL"))</x:f>
        <x:v>NORMAL</x:v>
      </x:c>
      <x:c r="H605" s="31" t="str">
        <x:f>IF(C605="","MISSING",IF(C605&gt;=30,"HIGH TEMP","OK"))</x:f>
        <x:v>OK</x:v>
      </x:c>
      <x:c r="I605" s="31" t="str">
        <x:f>IF(E605="","NO DATA",IF(E605&lt;20,"LOW FLOW","OK"))</x:f>
        <x:v>OK</x:v>
      </x:c>
      <x:c r="J605" s="31" t="str">
        <x:f>IF(OR(C605="",D605="",E605=""),"MISSING",IF(OR(C605&lt;0,C605&gt;60,D605&lt;50,D605&gt;400,E605&lt;0,E605&gt;200),"REVIEW","OK"))</x:f>
        <x:v>OK</x:v>
      </x:c>
    </x:row>
    <x:row r="606">
      <x:c r="A606" s="31" t="n">
        <x:v>605</x:v>
      </x:c>
      <x:c r="B606" s="32" t="n">
        <x:v>46310.40324074074</x:v>
      </x:c>
      <x:c r="C606" s="33" t="n">
        <x:v>23.585</x:v>
      </x:c>
      <x:c r="D606" s="33" t="n">
        <x:v>213.686</x:v>
      </x:c>
      <x:c r="E606" s="33" t="n">
        <x:v>85.036</x:v>
      </x:c>
      <x:c r="F606" s="31" t="str"/>
      <x:c r="G606" s="31" t="str">
        <x:f>IF(C606="","NO DATA",IF(C606&gt;=30,"ALERT","NORMAL"))</x:f>
        <x:v>NORMAL</x:v>
      </x:c>
      <x:c r="H606" s="31" t="str">
        <x:f>IF(C606="","MISSING",IF(C606&gt;=30,"HIGH TEMP","OK"))</x:f>
        <x:v>OK</x:v>
      </x:c>
      <x:c r="I606" s="31" t="str">
        <x:f>IF(E606="","NO DATA",IF(E606&lt;20,"LOW FLOW","OK"))</x:f>
        <x:v>OK</x:v>
      </x:c>
      <x:c r="J606" s="31" t="str">
        <x:f>IF(OR(C606="",D606="",E606=""),"MISSING",IF(OR(C606&lt;0,C606&gt;60,D606&lt;50,D606&gt;400,E606&lt;0,E606&gt;200),"REVIEW","OK"))</x:f>
        <x:v>OK</x:v>
      </x:c>
    </x:row>
    <x:row r="607">
      <x:c r="A607" s="31" t="n">
        <x:v>606</x:v>
      </x:c>
      <x:c r="B607" s="32" t="n">
        <x:v>46310.40335648148</x:v>
      </x:c>
      <x:c r="C607" s="33" t="n">
        <x:v>23.589</x:v>
      </x:c>
      <x:c r="D607" s="33" t="n">
        <x:v>211.552</x:v>
      </x:c>
      <x:c r="E607" s="33" t="n">
        <x:v>83.168</x:v>
      </x:c>
      <x:c r="F607" s="31" t="str"/>
      <x:c r="G607" s="31" t="str">
        <x:f>IF(C607="","NO DATA",IF(C607&gt;=30,"ALERT","NORMAL"))</x:f>
        <x:v>NORMAL</x:v>
      </x:c>
      <x:c r="H607" s="31" t="str">
        <x:f>IF(C607="","MISSING",IF(C607&gt;=30,"HIGH TEMP","OK"))</x:f>
        <x:v>OK</x:v>
      </x:c>
      <x:c r="I607" s="31" t="str">
        <x:f>IF(E607="","NO DATA",IF(E607&lt;20,"LOW FLOW","OK"))</x:f>
        <x:v>OK</x:v>
      </x:c>
      <x:c r="J607" s="31" t="str">
        <x:f>IF(OR(C607="",D607="",E607=""),"MISSING",IF(OR(C607&lt;0,C607&gt;60,D607&lt;50,D607&gt;400,E607&lt;0,E607&gt;200),"REVIEW","OK"))</x:f>
        <x:v>OK</x:v>
      </x:c>
    </x:row>
    <x:row r="608">
      <x:c r="A608" s="31" t="n">
        <x:v>607</x:v>
      </x:c>
      <x:c r="B608" s="32" t="n">
        <x:v>46310.40347222222</x:v>
      </x:c>
      <x:c r="C608" s="33" t="n">
        <x:v>23.509</x:v>
      </x:c>
      <x:c r="D608" s="33" t="n">
        <x:v>212.45</x:v>
      </x:c>
      <x:c r="E608" s="33" t="n">
        <x:v>83.416</x:v>
      </x:c>
      <x:c r="F608" s="31" t="str"/>
      <x:c r="G608" s="31" t="str">
        <x:f>IF(C608="","NO DATA",IF(C608&gt;=30,"ALERT","NORMAL"))</x:f>
        <x:v>NORMAL</x:v>
      </x:c>
      <x:c r="H608" s="31" t="str">
        <x:f>IF(C608="","MISSING",IF(C608&gt;=30,"HIGH TEMP","OK"))</x:f>
        <x:v>OK</x:v>
      </x:c>
      <x:c r="I608" s="31" t="str">
        <x:f>IF(E608="","NO DATA",IF(E608&lt;20,"LOW FLOW","OK"))</x:f>
        <x:v>OK</x:v>
      </x:c>
      <x:c r="J608" s="31" t="str">
        <x:f>IF(OR(C608="",D608="",E608=""),"MISSING",IF(OR(C608&lt;0,C608&gt;60,D608&lt;50,D608&gt;400,E608&lt;0,E608&gt;200),"REVIEW","OK"))</x:f>
        <x:v>OK</x:v>
      </x:c>
    </x:row>
    <x:row r="609">
      <x:c r="A609" s="31" t="n">
        <x:v>608</x:v>
      </x:c>
      <x:c r="B609" s="32" t="n">
        <x:v>46310.40358796297</x:v>
      </x:c>
      <x:c r="C609" s="33" t="n">
        <x:v>23.529</x:v>
      </x:c>
      <x:c r="D609" s="33" t="n">
        <x:v>213.381</x:v>
      </x:c>
      <x:c r="E609" s="33" t="n">
        <x:v>84.592</x:v>
      </x:c>
      <x:c r="F609" s="31" t="str"/>
      <x:c r="G609" s="31" t="str">
        <x:f>IF(C609="","NO DATA",IF(C609&gt;=30,"ALERT","NORMAL"))</x:f>
        <x:v>NORMAL</x:v>
      </x:c>
      <x:c r="H609" s="31" t="str">
        <x:f>IF(C609="","MISSING",IF(C609&gt;=30,"HIGH TEMP","OK"))</x:f>
        <x:v>OK</x:v>
      </x:c>
      <x:c r="I609" s="31" t="str">
        <x:f>IF(E609="","NO DATA",IF(E609&lt;20,"LOW FLOW","OK"))</x:f>
        <x:v>OK</x:v>
      </x:c>
      <x:c r="J609" s="31" t="str">
        <x:f>IF(OR(C609="",D609="",E609=""),"MISSING",IF(OR(C609&lt;0,C609&gt;60,D609&lt;50,D609&gt;400,E609&lt;0,E609&gt;200),"REVIEW","OK"))</x:f>
        <x:v>OK</x:v>
      </x:c>
    </x:row>
    <x:row r="610">
      <x:c r="A610" s="31" t="n">
        <x:v>609</x:v>
      </x:c>
      <x:c r="B610" s="32" t="n">
        <x:v>46310.403703703705</x:v>
      </x:c>
      <x:c r="C610" s="33" t="n">
        <x:v>23.657</x:v>
      </x:c>
      <x:c r="D610" s="33" t="n">
        <x:v>213.537</x:v>
      </x:c>
      <x:c r="E610" s="33" t="n">
        <x:v>83.008</x:v>
      </x:c>
      <x:c r="F610" s="31" t="str"/>
      <x:c r="G610" s="31" t="str">
        <x:f>IF(C610="","NO DATA",IF(C610&gt;=30,"ALERT","NORMAL"))</x:f>
        <x:v>NORMAL</x:v>
      </x:c>
      <x:c r="H610" s="31" t="str">
        <x:f>IF(C610="","MISSING",IF(C610&gt;=30,"HIGH TEMP","OK"))</x:f>
        <x:v>OK</x:v>
      </x:c>
      <x:c r="I610" s="31" t="str">
        <x:f>IF(E610="","NO DATA",IF(E610&lt;20,"LOW FLOW","OK"))</x:f>
        <x:v>OK</x:v>
      </x:c>
      <x:c r="J610" s="31" t="str">
        <x:f>IF(OR(C610="",D610="",E610=""),"MISSING",IF(OR(C610&lt;0,C610&gt;60,D610&lt;50,D610&gt;400,E610&lt;0,E610&gt;200),"REVIEW","OK"))</x:f>
        <x:v>OK</x:v>
      </x:c>
    </x:row>
    <x:row r="611">
      <x:c r="A611" s="31" t="n">
        <x:v>610</x:v>
      </x:c>
      <x:c r="B611" s="32" t="n">
        <x:v>46310.403819444444</x:v>
      </x:c>
      <x:c r="C611" s="33" t="n">
        <x:v>23.758</x:v>
      </x:c>
      <x:c r="D611" s="33" t="n">
        <x:v>214.048</x:v>
      </x:c>
      <x:c r="E611" s="33" t="n">
        <x:v>84.46</x:v>
      </x:c>
      <x:c r="F611" s="31" t="str"/>
      <x:c r="G611" s="31" t="str">
        <x:f>IF(C611="","NO DATA",IF(C611&gt;=30,"ALERT","NORMAL"))</x:f>
        <x:v>NORMAL</x:v>
      </x:c>
      <x:c r="H611" s="31" t="str">
        <x:f>IF(C611="","MISSING",IF(C611&gt;=30,"HIGH TEMP","OK"))</x:f>
        <x:v>OK</x:v>
      </x:c>
      <x:c r="I611" s="31" t="str">
        <x:f>IF(E611="","NO DATA",IF(E611&lt;20,"LOW FLOW","OK"))</x:f>
        <x:v>OK</x:v>
      </x:c>
      <x:c r="J611" s="31" t="str">
        <x:f>IF(OR(C611="",D611="",E611=""),"MISSING",IF(OR(C611&lt;0,C611&gt;60,D611&lt;50,D611&gt;400,E611&lt;0,E611&gt;200),"REVIEW","OK"))</x:f>
        <x:v>OK</x:v>
      </x:c>
    </x:row>
    <x:row r="612">
      <x:c r="A612" s="31" t="n">
        <x:v>611</x:v>
      </x:c>
      <x:c r="B612" s="32" t="n">
        <x:v>46310.40393518518</x:v>
      </x:c>
      <x:c r="C612" s="33" t="n">
        <x:v>23.67</x:v>
      </x:c>
      <x:c r="D612" s="33" t="n">
        <x:v>211.706</x:v>
      </x:c>
      <x:c r="E612" s="33" t="n">
        <x:v>20.996</x:v>
      </x:c>
      <x:c r="F612" s="31" t="str">
        <x:v>Low flow condition</x:v>
      </x:c>
      <x:c r="G612" s="31" t="str">
        <x:f>IF(C612="","NO DATA",IF(C612&gt;=30,"ALERT","NORMAL"))</x:f>
        <x:v>NORMAL</x:v>
      </x:c>
      <x:c r="H612" s="31" t="str">
        <x:f>IF(C612="","MISSING",IF(C612&gt;=30,"HIGH TEMP","OK"))</x:f>
        <x:v>OK</x:v>
      </x:c>
      <x:c r="I612" s="31" t="str">
        <x:f>IF(E612="","NO DATA",IF(E612&lt;20,"LOW FLOW","OK"))</x:f>
        <x:v>OK</x:v>
      </x:c>
      <x:c r="J612" s="31" t="str">
        <x:f>IF(OR(C612="",D612="",E612=""),"MISSING",IF(OR(C612&lt;0,C612&gt;60,D612&lt;50,D612&gt;400,E612&lt;0,E612&gt;200),"REVIEW","OK"))</x:f>
        <x:v>OK</x:v>
      </x:c>
    </x:row>
    <x:row r="613">
      <x:c r="A613" s="31" t="n">
        <x:v>612</x:v>
      </x:c>
      <x:c r="B613" s="32" t="n">
        <x:v>46310.40405092593</x:v>
      </x:c>
      <x:c r="C613" s="33" t="n">
        <x:v>23.573</x:v>
      </x:c>
      <x:c r="D613" s="33" t="n">
        <x:v>212.502</x:v>
      </x:c>
      <x:c r="E613" s="33" t="n">
        <x:v>21.117</x:v>
      </x:c>
      <x:c r="F613" s="31" t="str">
        <x:v>Low flow condition</x:v>
      </x:c>
      <x:c r="G613" s="31" t="str">
        <x:f>IF(C613="","NO DATA",IF(C613&gt;=30,"ALERT","NORMAL"))</x:f>
        <x:v>NORMAL</x:v>
      </x:c>
      <x:c r="H613" s="31" t="str">
        <x:f>IF(C613="","MISSING",IF(C613&gt;=30,"HIGH TEMP","OK"))</x:f>
        <x:v>OK</x:v>
      </x:c>
      <x:c r="I613" s="31" t="str">
        <x:f>IF(E613="","NO DATA",IF(E613&lt;20,"LOW FLOW","OK"))</x:f>
        <x:v>OK</x:v>
      </x:c>
      <x:c r="J613" s="31" t="str">
        <x:f>IF(OR(C613="",D613="",E613=""),"MISSING",IF(OR(C613&lt;0,C613&gt;60,D613&lt;50,D613&gt;400,E613&lt;0,E613&gt;200),"REVIEW","OK"))</x:f>
        <x:v>OK</x:v>
      </x:c>
    </x:row>
    <x:row r="614">
      <x:c r="A614" s="31" t="n">
        <x:v>613</x:v>
      </x:c>
      <x:c r="B614" s="32" t="n">
        <x:v>46310.40416666667</x:v>
      </x:c>
      <x:c r="C614" s="33" t="n">
        <x:v>23.617</x:v>
      </x:c>
      <x:c r="D614" s="33" t="n">
        <x:v>213.876</x:v>
      </x:c>
      <x:c r="E614" s="33" t="n">
        <x:v>21.183</x:v>
      </x:c>
      <x:c r="F614" s="31" t="str">
        <x:v>Low flow condition</x:v>
      </x:c>
      <x:c r="G614" s="31" t="str">
        <x:f>IF(C614="","NO DATA",IF(C614&gt;=30,"ALERT","NORMAL"))</x:f>
        <x:v>NORMAL</x:v>
      </x:c>
      <x:c r="H614" s="31" t="str">
        <x:f>IF(C614="","MISSING",IF(C614&gt;=30,"HIGH TEMP","OK"))</x:f>
        <x:v>OK</x:v>
      </x:c>
      <x:c r="I614" s="31" t="str">
        <x:f>IF(E614="","NO DATA",IF(E614&lt;20,"LOW FLOW","OK"))</x:f>
        <x:v>OK</x:v>
      </x:c>
      <x:c r="J614" s="31" t="str">
        <x:f>IF(OR(C614="",D614="",E614=""),"MISSING",IF(OR(C614&lt;0,C614&gt;60,D614&lt;50,D614&gt;400,E614&lt;0,E614&gt;200),"REVIEW","OK"))</x:f>
        <x:v>OK</x:v>
      </x:c>
    </x:row>
    <x:row r="615">
      <x:c r="A615" s="31" t="n">
        <x:v>614</x:v>
      </x:c>
      <x:c r="B615" s="32" t="n">
        <x:v>46310.404282407406</x:v>
      </x:c>
      <x:c r="C615" s="33" t="n">
        <x:v>23.779</x:v>
      </x:c>
      <x:c r="D615" s="33" t="n">
        <x:v>211.728</x:v>
      </x:c>
      <x:c r="E615" s="33" t="n">
        <x:v>21.808</x:v>
      </x:c>
      <x:c r="F615" s="31" t="str">
        <x:v>Low flow condition</x:v>
      </x:c>
      <x:c r="G615" s="31" t="str">
        <x:f>IF(C615="","NO DATA",IF(C615&gt;=30,"ALERT","NORMAL"))</x:f>
        <x:v>NORMAL</x:v>
      </x:c>
      <x:c r="H615" s="31" t="str">
        <x:f>IF(C615="","MISSING",IF(C615&gt;=30,"HIGH TEMP","OK"))</x:f>
        <x:v>OK</x:v>
      </x:c>
      <x:c r="I615" s="31" t="str">
        <x:f>IF(E615="","NO DATA",IF(E615&lt;20,"LOW FLOW","OK"))</x:f>
        <x:v>OK</x:v>
      </x:c>
      <x:c r="J615" s="31" t="str">
        <x:f>IF(OR(C615="",D615="",E615=""),"MISSING",IF(OR(C615&lt;0,C615&gt;60,D615&lt;50,D615&gt;400,E615&lt;0,E615&gt;200),"REVIEW","OK"))</x:f>
        <x:v>OK</x:v>
      </x:c>
    </x:row>
    <x:row r="616">
      <x:c r="A616" s="31" t="n">
        <x:v>615</x:v>
      </x:c>
      <x:c r="B616" s="32" t="n">
        <x:v>46310.404398148145</x:v>
      </x:c>
      <x:c r="C616" s="33" t="n">
        <x:v>23.598</x:v>
      </x:c>
      <x:c r="D616" s="33" t="n">
        <x:v>212.124</x:v>
      </x:c>
      <x:c r="E616" s="33" t="n">
        <x:v>21.349</x:v>
      </x:c>
      <x:c r="F616" s="31" t="str">
        <x:v>Low flow condition</x:v>
      </x:c>
      <x:c r="G616" s="31" t="str">
        <x:f>IF(C616="","NO DATA",IF(C616&gt;=30,"ALERT","NORMAL"))</x:f>
        <x:v>NORMAL</x:v>
      </x:c>
      <x:c r="H616" s="31" t="str">
        <x:f>IF(C616="","MISSING",IF(C616&gt;=30,"HIGH TEMP","OK"))</x:f>
        <x:v>OK</x:v>
      </x:c>
      <x:c r="I616" s="31" t="str">
        <x:f>IF(E616="","NO DATA",IF(E616&lt;20,"LOW FLOW","OK"))</x:f>
        <x:v>OK</x:v>
      </x:c>
      <x:c r="J616" s="31" t="str">
        <x:f>IF(OR(C616="",D616="",E616=""),"MISSING",IF(OR(C616&lt;0,C616&gt;60,D616&lt;50,D616&gt;400,E616&lt;0,E616&gt;200),"REVIEW","OK"))</x:f>
        <x:v>OK</x:v>
      </x:c>
    </x:row>
    <x:row r="617">
      <x:c r="A617" s="31" t="n">
        <x:v>616</x:v>
      </x:c>
      <x:c r="B617" s="32" t="n">
        <x:v>46310.40451388889</x:v>
      </x:c>
      <x:c r="C617" s="33" t="n">
        <x:v>23.747</x:v>
      </x:c>
      <x:c r="D617" s="33" t="n">
        <x:v>214.528</x:v>
      </x:c>
      <x:c r="E617" s="33" t="n">
        <x:v>21.198</x:v>
      </x:c>
      <x:c r="F617" s="31" t="str">
        <x:v>Low flow condition</x:v>
      </x:c>
      <x:c r="G617" s="31" t="str">
        <x:f>IF(C617="","NO DATA",IF(C617&gt;=30,"ALERT","NORMAL"))</x:f>
        <x:v>NORMAL</x:v>
      </x:c>
      <x:c r="H617" s="31" t="str">
        <x:f>IF(C617="","MISSING",IF(C617&gt;=30,"HIGH TEMP","OK"))</x:f>
        <x:v>OK</x:v>
      </x:c>
      <x:c r="I617" s="31" t="str">
        <x:f>IF(E617="","NO DATA",IF(E617&lt;20,"LOW FLOW","OK"))</x:f>
        <x:v>OK</x:v>
      </x:c>
      <x:c r="J617" s="31" t="str">
        <x:f>IF(OR(C617="",D617="",E617=""),"MISSING",IF(OR(C617&lt;0,C617&gt;60,D617&lt;50,D617&gt;400,E617&lt;0,E617&gt;200),"REVIEW","OK"))</x:f>
        <x:v>OK</x:v>
      </x:c>
    </x:row>
    <x:row r="618">
      <x:c r="A618" s="31" t="n">
        <x:v>617</x:v>
      </x:c>
      <x:c r="B618" s="32" t="n">
        <x:v>46310.40462962963</x:v>
      </x:c>
      <x:c r="C618" s="33" t="n">
        <x:v>23.649</x:v>
      </x:c>
      <x:c r="D618" s="33" t="n">
        <x:v>214.66</x:v>
      </x:c>
      <x:c r="E618" s="33" t="n">
        <x:v>21.683</x:v>
      </x:c>
      <x:c r="F618" s="31" t="str">
        <x:v>Low flow condition</x:v>
      </x:c>
      <x:c r="G618" s="31" t="str">
        <x:f>IF(C618="","NO DATA",IF(C618&gt;=30,"ALERT","NORMAL"))</x:f>
        <x:v>NORMAL</x:v>
      </x:c>
      <x:c r="H618" s="31" t="str">
        <x:f>IF(C618="","MISSING",IF(C618&gt;=30,"HIGH TEMP","OK"))</x:f>
        <x:v>OK</x:v>
      </x:c>
      <x:c r="I618" s="31" t="str">
        <x:f>IF(E618="","NO DATA",IF(E618&lt;20,"LOW FLOW","OK"))</x:f>
        <x:v>OK</x:v>
      </x:c>
      <x:c r="J618" s="31" t="str">
        <x:f>IF(OR(C618="",D618="",E618=""),"MISSING",IF(OR(C618&lt;0,C618&gt;60,D618&lt;50,D618&gt;400,E618&lt;0,E618&gt;200),"REVIEW","OK"))</x:f>
        <x:v>OK</x:v>
      </x:c>
    </x:row>
    <x:row r="619">
      <x:c r="A619" s="31" t="n">
        <x:v>618</x:v>
      </x:c>
      <x:c r="B619" s="32" t="n">
        <x:v>46310.40474537037</x:v>
      </x:c>
      <x:c r="C619" s="33" t="n">
        <x:v>23.697</x:v>
      </x:c>
      <x:c r="D619" s="33" t="n">
        <x:v>212.378</x:v>
      </x:c>
      <x:c r="E619" s="33" t="n">
        <x:v>21.896</x:v>
      </x:c>
      <x:c r="F619" s="31" t="str">
        <x:v>Low flow condition</x:v>
      </x:c>
      <x:c r="G619" s="31" t="str">
        <x:f>IF(C619="","NO DATA",IF(C619&gt;=30,"ALERT","NORMAL"))</x:f>
        <x:v>NORMAL</x:v>
      </x:c>
      <x:c r="H619" s="31" t="str">
        <x:f>IF(C619="","MISSING",IF(C619&gt;=30,"HIGH TEMP","OK"))</x:f>
        <x:v>OK</x:v>
      </x:c>
      <x:c r="I619" s="31" t="str">
        <x:f>IF(E619="","NO DATA",IF(E619&lt;20,"LOW FLOW","OK"))</x:f>
        <x:v>OK</x:v>
      </x:c>
      <x:c r="J619" s="31" t="str">
        <x:f>IF(OR(C619="",D619="",E619=""),"MISSING",IF(OR(C619&lt;0,C619&gt;60,D619&lt;50,D619&gt;400,E619&lt;0,E619&gt;200),"REVIEW","OK"))</x:f>
        <x:v>OK</x:v>
      </x:c>
    </x:row>
    <x:row r="620">
      <x:c r="A620" s="31" t="n">
        <x:v>619</x:v>
      </x:c>
      <x:c r="B620" s="32" t="n">
        <x:v>46310.404861111114</x:v>
      </x:c>
      <x:c r="C620" s="33" t="n">
        <x:v>23.831</x:v>
      </x:c>
      <x:c r="D620" s="33" t="n">
        <x:v>213.286</x:v>
      </x:c>
      <x:c r="E620" s="33" t="n">
        <x:v>21.453</x:v>
      </x:c>
      <x:c r="F620" s="31" t="str">
        <x:v>Low flow condition</x:v>
      </x:c>
      <x:c r="G620" s="31" t="str">
        <x:f>IF(C620="","NO DATA",IF(C620&gt;=30,"ALERT","NORMAL"))</x:f>
        <x:v>NORMAL</x:v>
      </x:c>
      <x:c r="H620" s="31" t="str">
        <x:f>IF(C620="","MISSING",IF(C620&gt;=30,"HIGH TEMP","OK"))</x:f>
        <x:v>OK</x:v>
      </x:c>
      <x:c r="I620" s="31" t="str">
        <x:f>IF(E620="","NO DATA",IF(E620&lt;20,"LOW FLOW","OK"))</x:f>
        <x:v>OK</x:v>
      </x:c>
      <x:c r="J620" s="31" t="str">
        <x:f>IF(OR(C620="",D620="",E620=""),"MISSING",IF(OR(C620&lt;0,C620&gt;60,D620&lt;50,D620&gt;400,E620&lt;0,E620&gt;200),"REVIEW","OK"))</x:f>
        <x:v>OK</x:v>
      </x:c>
    </x:row>
    <x:row r="621">
      <x:c r="A621" s="31" t="n">
        <x:v>620</x:v>
      </x:c>
      <x:c r="B621" s="32" t="n">
        <x:v>46310.40497685185</x:v>
      </x:c>
      <x:c r="C621" s="33" t="n">
        <x:v>23.829</x:v>
      </x:c>
      <x:c r="D621" s="33" t="n">
        <x:v>214.09</x:v>
      </x:c>
      <x:c r="E621" s="33" t="n">
        <x:v>21.096</x:v>
      </x:c>
      <x:c r="F621" s="31" t="str">
        <x:v>Low flow condition</x:v>
      </x:c>
      <x:c r="G621" s="31" t="str">
        <x:f>IF(C621="","NO DATA",IF(C621&gt;=30,"ALERT","NORMAL"))</x:f>
        <x:v>NORMAL</x:v>
      </x:c>
      <x:c r="H621" s="31" t="str">
        <x:f>IF(C621="","MISSING",IF(C621&gt;=30,"HIGH TEMP","OK"))</x:f>
        <x:v>OK</x:v>
      </x:c>
      <x:c r="I621" s="31" t="str">
        <x:f>IF(E621="","NO DATA",IF(E621&lt;20,"LOW FLOW","OK"))</x:f>
        <x:v>OK</x:v>
      </x:c>
      <x:c r="J621" s="31" t="str">
        <x:f>IF(OR(C621="",D621="",E621=""),"MISSING",IF(OR(C621&lt;0,C621&gt;60,D621&lt;50,D621&gt;400,E621&lt;0,E621&gt;200),"REVIEW","OK"))</x:f>
        <x:v>OK</x:v>
      </x:c>
    </x:row>
    <x:row r="622">
      <x:c r="A622" s="31" t="n">
        <x:v>621</x:v>
      </x:c>
      <x:c r="B622" s="32" t="n">
        <x:v>46310.40509259259</x:v>
      </x:c>
      <x:c r="C622" s="33" t="n">
        <x:v>23.913</x:v>
      </x:c>
      <x:c r="D622" s="33" t="n">
        <x:v>214.771</x:v>
      </x:c>
      <x:c r="E622" s="33" t="n">
        <x:v>21.415</x:v>
      </x:c>
      <x:c r="F622" s="31" t="str">
        <x:v>Low flow condition</x:v>
      </x:c>
      <x:c r="G622" s="31" t="str">
        <x:f>IF(C622="","NO DATA",IF(C622&gt;=30,"ALERT","NORMAL"))</x:f>
        <x:v>NORMAL</x:v>
      </x:c>
      <x:c r="H622" s="31" t="str">
        <x:f>IF(C622="","MISSING",IF(C622&gt;=30,"HIGH TEMP","OK"))</x:f>
        <x:v>OK</x:v>
      </x:c>
      <x:c r="I622" s="31" t="str">
        <x:f>IF(E622="","NO DATA",IF(E622&lt;20,"LOW FLOW","OK"))</x:f>
        <x:v>OK</x:v>
      </x:c>
      <x:c r="J622" s="31" t="str">
        <x:f>IF(OR(C622="",D622="",E622=""),"MISSING",IF(OR(C622&lt;0,C622&gt;60,D622&lt;50,D622&gt;400,E622&lt;0,E622&gt;200),"REVIEW","OK"))</x:f>
        <x:v>OK</x:v>
      </x:c>
    </x:row>
    <x:row r="623">
      <x:c r="A623" s="31" t="n">
        <x:v>622</x:v>
      </x:c>
      <x:c r="B623" s="32" t="n">
        <x:v>46310.40520833333</x:v>
      </x:c>
      <x:c r="C623" s="33" t="n">
        <x:v>23.917</x:v>
      </x:c>
      <x:c r="D623" s="33" t="n">
        <x:v>212.437</x:v>
      </x:c>
      <x:c r="E623" s="33" t="n">
        <x:v>20.799</x:v>
      </x:c>
      <x:c r="F623" s="31" t="str">
        <x:v>Low flow condition</x:v>
      </x:c>
      <x:c r="G623" s="31" t="str">
        <x:f>IF(C623="","NO DATA",IF(C623&gt;=30,"ALERT","NORMAL"))</x:f>
        <x:v>NORMAL</x:v>
      </x:c>
      <x:c r="H623" s="31" t="str">
        <x:f>IF(C623="","MISSING",IF(C623&gt;=30,"HIGH TEMP","OK"))</x:f>
        <x:v>OK</x:v>
      </x:c>
      <x:c r="I623" s="31" t="str">
        <x:f>IF(E623="","NO DATA",IF(E623&lt;20,"LOW FLOW","OK"))</x:f>
        <x:v>OK</x:v>
      </x:c>
      <x:c r="J623" s="31" t="str">
        <x:f>IF(OR(C623="",D623="",E623=""),"MISSING",IF(OR(C623&lt;0,C623&gt;60,D623&lt;50,D623&gt;400,E623&lt;0,E623&gt;200),"REVIEW","OK"))</x:f>
        <x:v>OK</x:v>
      </x:c>
    </x:row>
    <x:row r="624">
      <x:c r="A624" s="31" t="n">
        <x:v>623</x:v>
      </x:c>
      <x:c r="B624" s="32" t="n">
        <x:v>46310.405324074076</x:v>
      </x:c>
      <x:c r="C624" s="33" t="n">
        <x:v>23.889</x:v>
      </x:c>
      <x:c r="D624" s="33" t="n">
        <x:v>213.766</x:v>
      </x:c>
      <x:c r="E624" s="33" t="n">
        <x:v>20.94</x:v>
      </x:c>
      <x:c r="F624" s="31" t="str">
        <x:v>Low flow condition</x:v>
      </x:c>
      <x:c r="G624" s="31" t="str">
        <x:f>IF(C624="","NO DATA",IF(C624&gt;=30,"ALERT","NORMAL"))</x:f>
        <x:v>NORMAL</x:v>
      </x:c>
      <x:c r="H624" s="31" t="str">
        <x:f>IF(C624="","MISSING",IF(C624&gt;=30,"HIGH TEMP","OK"))</x:f>
        <x:v>OK</x:v>
      </x:c>
      <x:c r="I624" s="31" t="str">
        <x:f>IF(E624="","NO DATA",IF(E624&lt;20,"LOW FLOW","OK"))</x:f>
        <x:v>OK</x:v>
      </x:c>
      <x:c r="J624" s="31" t="str">
        <x:f>IF(OR(C624="",D624="",E624=""),"MISSING",IF(OR(C624&lt;0,C624&gt;60,D624&lt;50,D624&gt;400,E624&lt;0,E624&gt;200),"REVIEW","OK"))</x:f>
        <x:v>OK</x:v>
      </x:c>
    </x:row>
    <x:row r="625">
      <x:c r="A625" s="31" t="n">
        <x:v>624</x:v>
      </x:c>
      <x:c r="B625" s="32" t="n">
        <x:v>46310.405439814815</x:v>
      </x:c>
      <x:c r="C625" s="33" t="n">
        <x:v>23.843</x:v>
      </x:c>
      <x:c r="D625" s="33" t="n">
        <x:v>213.853</x:v>
      </x:c>
      <x:c r="E625" s="33" t="n">
        <x:v>21.029</x:v>
      </x:c>
      <x:c r="F625" s="31" t="str">
        <x:v>Low flow condition</x:v>
      </x:c>
      <x:c r="G625" s="31" t="str">
        <x:f>IF(C625="","NO DATA",IF(C625&gt;=30,"ALERT","NORMAL"))</x:f>
        <x:v>NORMAL</x:v>
      </x:c>
      <x:c r="H625" s="31" t="str">
        <x:f>IF(C625="","MISSING",IF(C625&gt;=30,"HIGH TEMP","OK"))</x:f>
        <x:v>OK</x:v>
      </x:c>
      <x:c r="I625" s="31" t="str">
        <x:f>IF(E625="","NO DATA",IF(E625&lt;20,"LOW FLOW","OK"))</x:f>
        <x:v>OK</x:v>
      </x:c>
      <x:c r="J625" s="31" t="str">
        <x:f>IF(OR(C625="",D625="",E625=""),"MISSING",IF(OR(C625&lt;0,C625&gt;60,D625&lt;50,D625&gt;400,E625&lt;0,E625&gt;200),"REVIEW","OK"))</x:f>
        <x:v>OK</x:v>
      </x:c>
    </x:row>
    <x:row r="626">
      <x:c r="A626" s="31" t="n">
        <x:v>625</x:v>
      </x:c>
      <x:c r="B626" s="32" t="n">
        <x:v>46310.40555555555</x:v>
      </x:c>
      <x:c r="C626" s="33" t="n">
        <x:v>23.939</x:v>
      </x:c>
      <x:c r="D626" s="33" t="n">
        <x:v>212.604</x:v>
      </x:c>
      <x:c r="E626" s="33" t="n">
        <x:v>21.994</x:v>
      </x:c>
      <x:c r="F626" s="31" t="str">
        <x:v>Low flow condition</x:v>
      </x:c>
      <x:c r="G626" s="31" t="str">
        <x:f>IF(C626="","NO DATA",IF(C626&gt;=30,"ALERT","NORMAL"))</x:f>
        <x:v>NORMAL</x:v>
      </x:c>
      <x:c r="H626" s="31" t="str">
        <x:f>IF(C626="","MISSING",IF(C626&gt;=30,"HIGH TEMP","OK"))</x:f>
        <x:v>OK</x:v>
      </x:c>
      <x:c r="I626" s="31" t="str">
        <x:f>IF(E626="","NO DATA",IF(E626&lt;20,"LOW FLOW","OK"))</x:f>
        <x:v>OK</x:v>
      </x:c>
      <x:c r="J626" s="31" t="str">
        <x:f>IF(OR(C626="",D626="",E626=""),"MISSING",IF(OR(C626&lt;0,C626&gt;60,D626&lt;50,D626&gt;400,E626&lt;0,E626&gt;200),"REVIEW","OK"))</x:f>
        <x:v>OK</x:v>
      </x:c>
    </x:row>
    <x:row r="627">
      <x:c r="A627" s="31" t="n">
        <x:v>626</x:v>
      </x:c>
      <x:c r="B627" s="32" t="n">
        <x:v>46310.4056712963</x:v>
      </x:c>
      <x:c r="C627" s="33" t="n">
        <x:v>23.92</x:v>
      </x:c>
      <x:c r="D627" s="33" t="n">
        <x:v>213.906</x:v>
      </x:c>
      <x:c r="E627" s="33" t="n">
        <x:v>20.792</x:v>
      </x:c>
      <x:c r="F627" s="31" t="str">
        <x:v>Low flow condition</x:v>
      </x:c>
      <x:c r="G627" s="31" t="str">
        <x:f>IF(C627="","NO DATA",IF(C627&gt;=30,"ALERT","NORMAL"))</x:f>
        <x:v>NORMAL</x:v>
      </x:c>
      <x:c r="H627" s="31" t="str">
        <x:f>IF(C627="","MISSING",IF(C627&gt;=30,"HIGH TEMP","OK"))</x:f>
        <x:v>OK</x:v>
      </x:c>
      <x:c r="I627" s="31" t="str">
        <x:f>IF(E627="","NO DATA",IF(E627&lt;20,"LOW FLOW","OK"))</x:f>
        <x:v>OK</x:v>
      </x:c>
      <x:c r="J627" s="31" t="str">
        <x:f>IF(OR(C627="",D627="",E627=""),"MISSING",IF(OR(C627&lt;0,C627&gt;60,D627&lt;50,D627&gt;400,E627&lt;0,E627&gt;200),"REVIEW","OK"))</x:f>
        <x:v>OK</x:v>
      </x:c>
    </x:row>
    <x:row r="628">
      <x:c r="A628" s="31" t="n">
        <x:v>627</x:v>
      </x:c>
      <x:c r="B628" s="32" t="n">
        <x:v>46310.40578703704</x:v>
      </x:c>
      <x:c r="C628" s="33" t="n">
        <x:v>23.942</x:v>
      </x:c>
      <x:c r="D628" s="33" t="n">
        <x:v>214.818</x:v>
      </x:c>
      <x:c r="E628" s="33" t="n">
        <x:v>21.334</x:v>
      </x:c>
      <x:c r="F628" s="31" t="str">
        <x:v>Low flow condition</x:v>
      </x:c>
      <x:c r="G628" s="31" t="str">
        <x:f>IF(C628="","NO DATA",IF(C628&gt;=30,"ALERT","NORMAL"))</x:f>
        <x:v>NORMAL</x:v>
      </x:c>
      <x:c r="H628" s="31" t="str">
        <x:f>IF(C628="","MISSING",IF(C628&gt;=30,"HIGH TEMP","OK"))</x:f>
        <x:v>OK</x:v>
      </x:c>
      <x:c r="I628" s="31" t="str">
        <x:f>IF(E628="","NO DATA",IF(E628&lt;20,"LOW FLOW","OK"))</x:f>
        <x:v>OK</x:v>
      </x:c>
      <x:c r="J628" s="31" t="str">
        <x:f>IF(OR(C628="",D628="",E628=""),"MISSING",IF(OR(C628&lt;0,C628&gt;60,D628&lt;50,D628&gt;400,E628&lt;0,E628&gt;200),"REVIEW","OK"))</x:f>
        <x:v>OK</x:v>
      </x:c>
    </x:row>
    <x:row r="629">
      <x:c r="A629" s="31" t="n">
        <x:v>628</x:v>
      </x:c>
      <x:c r="B629" s="32" t="n">
        <x:v>46310.40590277778</x:v>
      </x:c>
      <x:c r="C629" s="33" t="n">
        <x:v>24.069</x:v>
      </x:c>
      <x:c r="D629" s="33" t="n">
        <x:v>214.662</x:v>
      </x:c>
      <x:c r="E629" s="33" t="n">
        <x:v>20.772</x:v>
      </x:c>
      <x:c r="F629" s="31" t="str">
        <x:v>Low flow condition</x:v>
      </x:c>
      <x:c r="G629" s="31" t="str">
        <x:f>IF(C629="","NO DATA",IF(C629&gt;=30,"ALERT","NORMAL"))</x:f>
        <x:v>NORMAL</x:v>
      </x:c>
      <x:c r="H629" s="31" t="str">
        <x:f>IF(C629="","MISSING",IF(C629&gt;=30,"HIGH TEMP","OK"))</x:f>
        <x:v>OK</x:v>
      </x:c>
      <x:c r="I629" s="31" t="str">
        <x:f>IF(E629="","NO DATA",IF(E629&lt;20,"LOW FLOW","OK"))</x:f>
        <x:v>OK</x:v>
      </x:c>
      <x:c r="J629" s="31" t="str">
        <x:f>IF(OR(C629="",D629="",E629=""),"MISSING",IF(OR(C629&lt;0,C629&gt;60,D629&lt;50,D629&gt;400,E629&lt;0,E629&gt;200),"REVIEW","OK"))</x:f>
        <x:v>OK</x:v>
      </x:c>
    </x:row>
    <x:row r="630">
      <x:c r="A630" s="31" t="n">
        <x:v>629</x:v>
      </x:c>
      <x:c r="B630" s="32" t="n">
        <x:v>46310.406018518515</x:v>
      </x:c>
      <x:c r="C630" s="33" t="n">
        <x:v>23.947</x:v>
      </x:c>
      <x:c r="D630" s="33" t="n">
        <x:v>212.639</x:v>
      </x:c>
      <x:c r="E630" s="33" t="n">
        <x:v>22.195</x:v>
      </x:c>
      <x:c r="F630" s="31" t="str">
        <x:v>Low flow condition</x:v>
      </x:c>
      <x:c r="G630" s="31" t="str">
        <x:f>IF(C630="","NO DATA",IF(C630&gt;=30,"ALERT","NORMAL"))</x:f>
        <x:v>NORMAL</x:v>
      </x:c>
      <x:c r="H630" s="31" t="str">
        <x:f>IF(C630="","MISSING",IF(C630&gt;=30,"HIGH TEMP","OK"))</x:f>
        <x:v>OK</x:v>
      </x:c>
      <x:c r="I630" s="31" t="str">
        <x:f>IF(E630="","NO DATA",IF(E630&lt;20,"LOW FLOW","OK"))</x:f>
        <x:v>OK</x:v>
      </x:c>
      <x:c r="J630" s="31" t="str">
        <x:f>IF(OR(C630="",D630="",E630=""),"MISSING",IF(OR(C630&lt;0,C630&gt;60,D630&lt;50,D630&gt;400,E630&lt;0,E630&gt;200),"REVIEW","OK"))</x:f>
        <x:v>OK</x:v>
      </x:c>
    </x:row>
    <x:row r="631">
      <x:c r="A631" s="31" t="n">
        <x:v>630</x:v>
      </x:c>
      <x:c r="B631" s="32" t="n">
        <x:v>46310.40613425926</x:v>
      </x:c>
      <x:c r="C631" s="33" t="n">
        <x:v>23.884</x:v>
      </x:c>
      <x:c r="D631" s="33" t="n">
        <x:v>215.268</x:v>
      </x:c>
      <x:c r="E631" s="33" t="n">
        <x:v>21.354</x:v>
      </x:c>
      <x:c r="F631" s="31" t="str">
        <x:v>Low flow condition</x:v>
      </x:c>
      <x:c r="G631" s="31" t="str">
        <x:f>IF(C631="","NO DATA",IF(C631&gt;=30,"ALERT","NORMAL"))</x:f>
        <x:v>NORMAL</x:v>
      </x:c>
      <x:c r="H631" s="31" t="str">
        <x:f>IF(C631="","MISSING",IF(C631&gt;=30,"HIGH TEMP","OK"))</x:f>
        <x:v>OK</x:v>
      </x:c>
      <x:c r="I631" s="31" t="str">
        <x:f>IF(E631="","NO DATA",IF(E631&lt;20,"LOW FLOW","OK"))</x:f>
        <x:v>OK</x:v>
      </x:c>
      <x:c r="J631" s="31" t="str">
        <x:f>IF(OR(C631="",D631="",E631=""),"MISSING",IF(OR(C631&lt;0,C631&gt;60,D631&lt;50,D631&gt;400,E631&lt;0,E631&gt;200),"REVIEW","OK"))</x:f>
        <x:v>OK</x:v>
      </x:c>
    </x:row>
    <x:row r="632">
      <x:c r="A632" s="31" t="n">
        <x:v>631</x:v>
      </x:c>
      <x:c r="B632" s="32" t="n">
        <x:v>46310.40625</x:v>
      </x:c>
      <x:c r="C632" s="33" t="n">
        <x:v>24.114</x:v>
      </x:c>
      <x:c r="D632" s="33" t="n">
        <x:v>214.778</x:v>
      </x:c>
      <x:c r="E632" s="33" t="n">
        <x:v>21.733</x:v>
      </x:c>
      <x:c r="F632" s="31" t="str">
        <x:v>Low flow condition</x:v>
      </x:c>
      <x:c r="G632" s="31" t="str">
        <x:f>IF(C632="","NO DATA",IF(C632&gt;=30,"ALERT","NORMAL"))</x:f>
        <x:v>NORMAL</x:v>
      </x:c>
      <x:c r="H632" s="31" t="str">
        <x:f>IF(C632="","MISSING",IF(C632&gt;=30,"HIGH TEMP","OK"))</x:f>
        <x:v>OK</x:v>
      </x:c>
      <x:c r="I632" s="31" t="str">
        <x:f>IF(E632="","NO DATA",IF(E632&lt;20,"LOW FLOW","OK"))</x:f>
        <x:v>OK</x:v>
      </x:c>
      <x:c r="J632" s="31" t="str">
        <x:f>IF(OR(C632="",D632="",E632=""),"MISSING",IF(OR(C632&lt;0,C632&gt;60,D632&lt;50,D632&gt;400,E632&lt;0,E632&gt;200),"REVIEW","OK"))</x:f>
        <x:v>OK</x:v>
      </x:c>
    </x:row>
    <x:row r="633">
      <x:c r="A633" s="31" t="n">
        <x:v>632</x:v>
      </x:c>
      <x:c r="B633" s="32" t="n">
        <x:v>46310.40636574074</x:v>
      </x:c>
      <x:c r="C633" s="33" t="n">
        <x:v>24.03</x:v>
      </x:c>
      <x:c r="D633" s="33" t="n">
        <x:v>215.47</x:v>
      </x:c>
      <x:c r="E633" s="33" t="n">
        <x:v>22.091</x:v>
      </x:c>
      <x:c r="F633" s="31" t="str">
        <x:v>Low flow condition</x:v>
      </x:c>
      <x:c r="G633" s="31" t="str">
        <x:f>IF(C633="","NO DATA",IF(C633&gt;=30,"ALERT","NORMAL"))</x:f>
        <x:v>NORMAL</x:v>
      </x:c>
      <x:c r="H633" s="31" t="str">
        <x:f>IF(C633="","MISSING",IF(C633&gt;=30,"HIGH TEMP","OK"))</x:f>
        <x:v>OK</x:v>
      </x:c>
      <x:c r="I633" s="31" t="str">
        <x:f>IF(E633="","NO DATA",IF(E633&lt;20,"LOW FLOW","OK"))</x:f>
        <x:v>OK</x:v>
      </x:c>
      <x:c r="J633" s="31" t="str">
        <x:f>IF(OR(C633="",D633="",E633=""),"MISSING",IF(OR(C633&lt;0,C633&gt;60,D633&lt;50,D633&gt;400,E633&lt;0,E633&gt;200),"REVIEW","OK"))</x:f>
        <x:v>OK</x:v>
      </x:c>
    </x:row>
    <x:row r="634">
      <x:c r="A634" s="31" t="n">
        <x:v>633</x:v>
      </x:c>
      <x:c r="B634" s="32" t="n">
        <x:v>46310.406481481485</x:v>
      </x:c>
      <x:c r="C634" s="33" t="n">
        <x:v>24.195</x:v>
      </x:c>
      <x:c r="D634" s="33" t="n">
        <x:v>213.625</x:v>
      </x:c>
      <x:c r="E634" s="33" t="n">
        <x:v>21.759</x:v>
      </x:c>
      <x:c r="F634" s="31" t="str">
        <x:v>Low flow condition</x:v>
      </x:c>
      <x:c r="G634" s="31" t="str">
        <x:f>IF(C634="","NO DATA",IF(C634&gt;=30,"ALERT","NORMAL"))</x:f>
        <x:v>NORMAL</x:v>
      </x:c>
      <x:c r="H634" s="31" t="str">
        <x:f>IF(C634="","MISSING",IF(C634&gt;=30,"HIGH TEMP","OK"))</x:f>
        <x:v>OK</x:v>
      </x:c>
      <x:c r="I634" s="31" t="str">
        <x:f>IF(E634="","NO DATA",IF(E634&lt;20,"LOW FLOW","OK"))</x:f>
        <x:v>OK</x:v>
      </x:c>
      <x:c r="J634" s="31" t="str">
        <x:f>IF(OR(C634="",D634="",E634=""),"MISSING",IF(OR(C634&lt;0,C634&gt;60,D634&lt;50,D634&gt;400,E634&lt;0,E634&gt;200),"REVIEW","OK"))</x:f>
        <x:v>OK</x:v>
      </x:c>
    </x:row>
    <x:row r="635">
      <x:c r="A635" s="31" t="n">
        <x:v>634</x:v>
      </x:c>
      <x:c r="B635" s="32" t="n">
        <x:v>46310.40659722222</x:v>
      </x:c>
      <x:c r="C635" s="33" t="n">
        <x:v>24.105</x:v>
      </x:c>
      <x:c r="D635" s="33" t="n">
        <x:v>214.461</x:v>
      </x:c>
      <x:c r="E635" s="33" t="n">
        <x:v>20.986</x:v>
      </x:c>
      <x:c r="F635" s="31" t="str">
        <x:v>Low flow condition</x:v>
      </x:c>
      <x:c r="G635" s="31" t="str">
        <x:f>IF(C635="","NO DATA",IF(C635&gt;=30,"ALERT","NORMAL"))</x:f>
        <x:v>NORMAL</x:v>
      </x:c>
      <x:c r="H635" s="31" t="str">
        <x:f>IF(C635="","MISSING",IF(C635&gt;=30,"HIGH TEMP","OK"))</x:f>
        <x:v>OK</x:v>
      </x:c>
      <x:c r="I635" s="31" t="str">
        <x:f>IF(E635="","NO DATA",IF(E635&lt;20,"LOW FLOW","OK"))</x:f>
        <x:v>OK</x:v>
      </x:c>
      <x:c r="J635" s="31" t="str">
        <x:f>IF(OR(C635="",D635="",E635=""),"MISSING",IF(OR(C635&lt;0,C635&gt;60,D635&lt;50,D635&gt;400,E635&lt;0,E635&gt;200),"REVIEW","OK"))</x:f>
        <x:v>OK</x:v>
      </x:c>
    </x:row>
    <x:row r="636">
      <x:c r="A636" s="31" t="n">
        <x:v>635</x:v>
      </x:c>
      <x:c r="B636" s="32" t="n">
        <x:v>46310.40671296296</x:v>
      </x:c>
      <x:c r="C636" s="33" t="n">
        <x:v>24.124</x:v>
      </x:c>
      <x:c r="D636" s="33" t="n">
        <x:v>214.085</x:v>
      </x:c>
      <x:c r="E636" s="33" t="n">
        <x:v>21.056</x:v>
      </x:c>
      <x:c r="F636" s="31" t="str">
        <x:v>Low flow condition</x:v>
      </x:c>
      <x:c r="G636" s="31" t="str">
        <x:f>IF(C636="","NO DATA",IF(C636&gt;=30,"ALERT","NORMAL"))</x:f>
        <x:v>NORMAL</x:v>
      </x:c>
      <x:c r="H636" s="31" t="str">
        <x:f>IF(C636="","MISSING",IF(C636&gt;=30,"HIGH TEMP","OK"))</x:f>
        <x:v>OK</x:v>
      </x:c>
      <x:c r="I636" s="31" t="str">
        <x:f>IF(E636="","NO DATA",IF(E636&lt;20,"LOW FLOW","OK"))</x:f>
        <x:v>OK</x:v>
      </x:c>
      <x:c r="J636" s="31" t="str">
        <x:f>IF(OR(C636="",D636="",E636=""),"MISSING",IF(OR(C636&lt;0,C636&gt;60,D636&lt;50,D636&gt;400,E636&lt;0,E636&gt;200),"REVIEW","OK"))</x:f>
        <x:v>OK</x:v>
      </x:c>
    </x:row>
    <x:row r="637">
      <x:c r="A637" s="31" t="n">
        <x:v>636</x:v>
      </x:c>
      <x:c r="B637" s="32" t="n">
        <x:v>46310.4068287037</x:v>
      </x:c>
      <x:c r="C637" s="33" t="n">
        <x:v>23.983</x:v>
      </x:c>
      <x:c r="D637" s="33" t="n">
        <x:v>212.56</x:v>
      </x:c>
      <x:c r="E637" s="33" t="n">
        <x:v>21.778</x:v>
      </x:c>
      <x:c r="F637" s="31" t="str">
        <x:v>Low flow condition</x:v>
      </x:c>
      <x:c r="G637" s="31" t="str">
        <x:f>IF(C637="","NO DATA",IF(C637&gt;=30,"ALERT","NORMAL"))</x:f>
        <x:v>NORMAL</x:v>
      </x:c>
      <x:c r="H637" s="31" t="str">
        <x:f>IF(C637="","MISSING",IF(C637&gt;=30,"HIGH TEMP","OK"))</x:f>
        <x:v>OK</x:v>
      </x:c>
      <x:c r="I637" s="31" t="str">
        <x:f>IF(E637="","NO DATA",IF(E637&lt;20,"LOW FLOW","OK"))</x:f>
        <x:v>OK</x:v>
      </x:c>
      <x:c r="J637" s="31" t="str">
        <x:f>IF(OR(C637="",D637="",E637=""),"MISSING",IF(OR(C637&lt;0,C637&gt;60,D637&lt;50,D637&gt;400,E637&lt;0,E637&gt;200),"REVIEW","OK"))</x:f>
        <x:v>OK</x:v>
      </x:c>
    </x:row>
    <x:row r="638">
      <x:c r="A638" s="31" t="n">
        <x:v>637</x:v>
      </x:c>
      <x:c r="B638" s="32" t="n">
        <x:v>46310.40694444445</x:v>
      </x:c>
      <x:c r="C638" s="33" t="n">
        <x:v>24.165</x:v>
      </x:c>
      <x:c r="D638" s="33" t="n">
        <x:v>214.077</x:v>
      </x:c>
      <x:c r="E638" s="33" t="n">
        <x:v>34.748</x:v>
      </x:c>
      <x:c r="F638" s="31" t="str">
        <x:v>Flow recovering</x:v>
      </x:c>
      <x:c r="G638" s="31" t="str">
        <x:f>IF(C638="","NO DATA",IF(C638&gt;=30,"ALERT","NORMAL"))</x:f>
        <x:v>NORMAL</x:v>
      </x:c>
      <x:c r="H638" s="31" t="str">
        <x:f>IF(C638="","MISSING",IF(C638&gt;=30,"HIGH TEMP","OK"))</x:f>
        <x:v>OK</x:v>
      </x:c>
      <x:c r="I638" s="31" t="str">
        <x:f>IF(E638="","NO DATA",IF(E638&lt;20,"LOW FLOW","OK"))</x:f>
        <x:v>OK</x:v>
      </x:c>
      <x:c r="J638" s="31" t="str">
        <x:f>IF(OR(C638="",D638="",E638=""),"MISSING",IF(OR(C638&lt;0,C638&gt;60,D638&lt;50,D638&gt;400,E638&lt;0,E638&gt;200),"REVIEW","OK"))</x:f>
        <x:v>OK</x:v>
      </x:c>
    </x:row>
    <x:row r="639">
      <x:c r="A639" s="31" t="n">
        <x:v>638</x:v>
      </x:c>
      <x:c r="B639" s="32" t="n">
        <x:v>46310.407060185185</x:v>
      </x:c>
      <x:c r="C639" s="33" t="n">
        <x:v>24.124</x:v>
      </x:c>
      <x:c r="D639" s="33" t="n">
        <x:v>213.294</x:v>
      </x:c>
      <x:c r="E639" s="33" t="n">
        <x:v>39.225</x:v>
      </x:c>
      <x:c r="F639" s="31" t="str">
        <x:v>Flow recovering</x:v>
      </x:c>
      <x:c r="G639" s="31" t="str">
        <x:f>IF(C639="","NO DATA",IF(C639&gt;=30,"ALERT","NORMAL"))</x:f>
        <x:v>NORMAL</x:v>
      </x:c>
      <x:c r="H639" s="31" t="str">
        <x:f>IF(C639="","MISSING",IF(C639&gt;=30,"HIGH TEMP","OK"))</x:f>
        <x:v>OK</x:v>
      </x:c>
      <x:c r="I639" s="31" t="str">
        <x:f>IF(E639="","NO DATA",IF(E639&lt;20,"LOW FLOW","OK"))</x:f>
        <x:v>OK</x:v>
      </x:c>
      <x:c r="J639" s="31" t="str">
        <x:f>IF(OR(C639="",D639="",E639=""),"MISSING",IF(OR(C639&lt;0,C639&gt;60,D639&lt;50,D639&gt;400,E639&lt;0,E639&gt;200),"REVIEW","OK"))</x:f>
        <x:v>OK</x:v>
      </x:c>
    </x:row>
    <x:row r="640">
      <x:c r="A640" s="31" t="n">
        <x:v>639</x:v>
      </x:c>
      <x:c r="B640" s="32" t="n">
        <x:v>46310.407175925924</x:v>
      </x:c>
      <x:c r="C640" s="33" t="n">
        <x:v>24.073</x:v>
      </x:c>
      <x:c r="D640" s="33" t="n">
        <x:v>214.877</x:v>
      </x:c>
      <x:c r="E640" s="33" t="n">
        <x:v>43.266</x:v>
      </x:c>
      <x:c r="F640" s="31" t="str">
        <x:v>Flow recovering</x:v>
      </x:c>
      <x:c r="G640" s="31" t="str">
        <x:f>IF(C640="","NO DATA",IF(C640&gt;=30,"ALERT","NORMAL"))</x:f>
        <x:v>NORMAL</x:v>
      </x:c>
      <x:c r="H640" s="31" t="str">
        <x:f>IF(C640="","MISSING",IF(C640&gt;=30,"HIGH TEMP","OK"))</x:f>
        <x:v>OK</x:v>
      </x:c>
      <x:c r="I640" s="31" t="str">
        <x:f>IF(E640="","NO DATA",IF(E640&lt;20,"LOW FLOW","OK"))</x:f>
        <x:v>OK</x:v>
      </x:c>
      <x:c r="J640" s="31" t="str">
        <x:f>IF(OR(C640="",D640="",E640=""),"MISSING",IF(OR(C640&lt;0,C640&gt;60,D640&lt;50,D640&gt;400,E640&lt;0,E640&gt;200),"REVIEW","OK"))</x:f>
        <x:v>OK</x:v>
      </x:c>
    </x:row>
    <x:row r="641">
      <x:c r="A641" s="31" t="n">
        <x:v>640</x:v>
      </x:c>
      <x:c r="B641" s="32" t="n">
        <x:v>46310.40729166667</x:v>
      </x:c>
      <x:c r="C641" s="33" t="n">
        <x:v>24.322</x:v>
      </x:c>
      <x:c r="D641" s="33" t="n">
        <x:v>212.473</x:v>
      </x:c>
      <x:c r="E641" s="33" t="n">
        <x:v>46.601</x:v>
      </x:c>
      <x:c r="F641" s="31" t="str">
        <x:v>Flow recovering</x:v>
      </x:c>
      <x:c r="G641" s="31" t="str">
        <x:f>IF(C641="","NO DATA",IF(C641&gt;=30,"ALERT","NORMAL"))</x:f>
        <x:v>NORMAL</x:v>
      </x:c>
      <x:c r="H641" s="31" t="str">
        <x:f>IF(C641="","MISSING",IF(C641&gt;=30,"HIGH TEMP","OK"))</x:f>
        <x:v>OK</x:v>
      </x:c>
      <x:c r="I641" s="31" t="str">
        <x:f>IF(E641="","NO DATA",IF(E641&lt;20,"LOW FLOW","OK"))</x:f>
        <x:v>OK</x:v>
      </x:c>
      <x:c r="J641" s="31" t="str">
        <x:f>IF(OR(C641="",D641="",E641=""),"MISSING",IF(OR(C641&lt;0,C641&gt;60,D641&lt;50,D641&gt;400,E641&lt;0,E641&gt;200),"REVIEW","OK"))</x:f>
        <x:v>OK</x:v>
      </x:c>
    </x:row>
    <x:row r="642">
      <x:c r="A642" s="31" t="n">
        <x:v>641</x:v>
      </x:c>
      <x:c r="B642" s="32" t="n">
        <x:v>46310.40740740741</x:v>
      </x:c>
      <x:c r="C642" s="33" t="n">
        <x:v>24.085</x:v>
      </x:c>
      <x:c r="D642" s="33" t="n">
        <x:v>214.193</x:v>
      </x:c>
      <x:c r="E642" s="33" t="n">
        <x:v>50.549</x:v>
      </x:c>
      <x:c r="F642" s="31" t="str">
        <x:v>Flow recovering</x:v>
      </x:c>
      <x:c r="G642" s="31" t="str">
        <x:f>IF(C642="","NO DATA",IF(C642&gt;=30,"ALERT","NORMAL"))</x:f>
        <x:v>NORMAL</x:v>
      </x:c>
      <x:c r="H642" s="31" t="str">
        <x:f>IF(C642="","MISSING",IF(C642&gt;=30,"HIGH TEMP","OK"))</x:f>
        <x:v>OK</x:v>
      </x:c>
      <x:c r="I642" s="31" t="str">
        <x:f>IF(E642="","NO DATA",IF(E642&lt;20,"LOW FLOW","OK"))</x:f>
        <x:v>OK</x:v>
      </x:c>
      <x:c r="J642" s="31" t="str">
        <x:f>IF(OR(C642="",D642="",E642=""),"MISSING",IF(OR(C642&lt;0,C642&gt;60,D642&lt;50,D642&gt;400,E642&lt;0,E642&gt;200),"REVIEW","OK"))</x:f>
        <x:v>OK</x:v>
      </x:c>
    </x:row>
    <x:row r="643">
      <x:c r="A643" s="31" t="n">
        <x:v>642</x:v>
      </x:c>
      <x:c r="B643" s="32" t="n">
        <x:v>46310.40752314815</x:v>
      </x:c>
      <x:c r="C643" s="33" t="n">
        <x:v>24.315</x:v>
      </x:c>
      <x:c r="D643" s="33" t="n">
        <x:v>213.575</x:v>
      </x:c>
      <x:c r="E643" s="33" t="n">
        <x:v>54.717</x:v>
      </x:c>
      <x:c r="F643" s="31" t="str">
        <x:v>Flow recovering</x:v>
      </x:c>
      <x:c r="G643" s="31" t="str">
        <x:f>IF(C643="","NO DATA",IF(C643&gt;=30,"ALERT","NORMAL"))</x:f>
        <x:v>NORMAL</x:v>
      </x:c>
      <x:c r="H643" s="31" t="str">
        <x:f>IF(C643="","MISSING",IF(C643&gt;=30,"HIGH TEMP","OK"))</x:f>
        <x:v>OK</x:v>
      </x:c>
      <x:c r="I643" s="31" t="str">
        <x:f>IF(E643="","NO DATA",IF(E643&lt;20,"LOW FLOW","OK"))</x:f>
        <x:v>OK</x:v>
      </x:c>
      <x:c r="J643" s="31" t="str">
        <x:f>IF(OR(C643="",D643="",E643=""),"MISSING",IF(OR(C643&lt;0,C643&gt;60,D643&lt;50,D643&gt;400,E643&lt;0,E643&gt;200),"REVIEW","OK"))</x:f>
        <x:v>OK</x:v>
      </x:c>
    </x:row>
    <x:row r="644">
      <x:c r="A644" s="31" t="n">
        <x:v>643</x:v>
      </x:c>
      <x:c r="B644" s="32" t="n">
        <x:v>46310.407638888886</x:v>
      </x:c>
      <x:c r="C644" s="33" t="n">
        <x:v>24.369</x:v>
      </x:c>
      <x:c r="D644" s="33" t="n">
        <x:v>212.503</x:v>
      </x:c>
      <x:c r="E644" s="33" t="n">
        <x:v>58.789</x:v>
      </x:c>
      <x:c r="F644" s="31" t="str">
        <x:v>Flow recovering</x:v>
      </x:c>
      <x:c r="G644" s="31" t="str">
        <x:f>IF(C644="","NO DATA",IF(C644&gt;=30,"ALERT","NORMAL"))</x:f>
        <x:v>NORMAL</x:v>
      </x:c>
      <x:c r="H644" s="31" t="str">
        <x:f>IF(C644="","MISSING",IF(C644&gt;=30,"HIGH TEMP","OK"))</x:f>
        <x:v>OK</x:v>
      </x:c>
      <x:c r="I644" s="31" t="str">
        <x:f>IF(E644="","NO DATA",IF(E644&lt;20,"LOW FLOW","OK"))</x:f>
        <x:v>OK</x:v>
      </x:c>
      <x:c r="J644" s="31" t="str">
        <x:f>IF(OR(C644="",D644="",E644=""),"MISSING",IF(OR(C644&lt;0,C644&gt;60,D644&lt;50,D644&gt;400,E644&lt;0,E644&gt;200),"REVIEW","OK"))</x:f>
        <x:v>OK</x:v>
      </x:c>
    </x:row>
    <x:row r="645">
      <x:c r="A645" s="31" t="n">
        <x:v>644</x:v>
      </x:c>
      <x:c r="B645" s="32" t="n">
        <x:v>46310.40775462963</x:v>
      </x:c>
      <x:c r="C645" s="33" t="n">
        <x:v>24.372</x:v>
      </x:c>
      <x:c r="D645" s="33" t="n">
        <x:v>214.489</x:v>
      </x:c>
      <x:c r="E645" s="33" t="n">
        <x:v>63.098</x:v>
      </x:c>
      <x:c r="F645" s="31" t="str">
        <x:v>Flow recovering</x:v>
      </x:c>
      <x:c r="G645" s="31" t="str">
        <x:f>IF(C645="","NO DATA",IF(C645&gt;=30,"ALERT","NORMAL"))</x:f>
        <x:v>NORMAL</x:v>
      </x:c>
      <x:c r="H645" s="31" t="str">
        <x:f>IF(C645="","MISSING",IF(C645&gt;=30,"HIGH TEMP","OK"))</x:f>
        <x:v>OK</x:v>
      </x:c>
      <x:c r="I645" s="31" t="str">
        <x:f>IF(E645="","NO DATA",IF(E645&lt;20,"LOW FLOW","OK"))</x:f>
        <x:v>OK</x:v>
      </x:c>
      <x:c r="J645" s="31" t="str">
        <x:f>IF(OR(C645="",D645="",E645=""),"MISSING",IF(OR(C645&lt;0,C645&gt;60,D645&lt;50,D645&gt;400,E645&lt;0,E645&gt;200),"REVIEW","OK"))</x:f>
        <x:v>OK</x:v>
      </x:c>
    </x:row>
    <x:row r="646">
      <x:c r="A646" s="31" t="n">
        <x:v>645</x:v>
      </x:c>
      <x:c r="B646" s="32" t="n">
        <x:v>46310.40787037037</x:v>
      </x:c>
      <x:c r="C646" s="33" t="n">
        <x:v>24.345</x:v>
      </x:c>
      <x:c r="D646" s="33" t="n">
        <x:v>213.214</x:v>
      </x:c>
      <x:c r="E646" s="33" t="n">
        <x:v>66.643</x:v>
      </x:c>
      <x:c r="F646" s="31" t="str">
        <x:v>Flow recovering</x:v>
      </x:c>
      <x:c r="G646" s="31" t="str">
        <x:f>IF(C646="","NO DATA",IF(C646&gt;=30,"ALERT","NORMAL"))</x:f>
        <x:v>NORMAL</x:v>
      </x:c>
      <x:c r="H646" s="31" t="str">
        <x:f>IF(C646="","MISSING",IF(C646&gt;=30,"HIGH TEMP","OK"))</x:f>
        <x:v>OK</x:v>
      </x:c>
      <x:c r="I646" s="31" t="str">
        <x:f>IF(E646="","NO DATA",IF(E646&lt;20,"LOW FLOW","OK"))</x:f>
        <x:v>OK</x:v>
      </x:c>
      <x:c r="J646" s="31" t="str">
        <x:f>IF(OR(C646="",D646="",E646=""),"MISSING",IF(OR(C646&lt;0,C646&gt;60,D646&lt;50,D646&gt;400,E646&lt;0,E646&gt;200),"REVIEW","OK"))</x:f>
        <x:v>OK</x:v>
      </x:c>
    </x:row>
    <x:row r="647">
      <x:c r="A647" s="31" t="n">
        <x:v>646</x:v>
      </x:c>
      <x:c r="B647" s="32" t="n">
        <x:v>46310.40798611111</x:v>
      </x:c>
      <x:c r="C647" s="33" t="n">
        <x:v>24.357</x:v>
      </x:c>
      <x:c r="D647" s="33" t="n">
        <x:v>212.869</x:v>
      </x:c>
      <x:c r="E647" s="33" t="n">
        <x:v>70.561</x:v>
      </x:c>
      <x:c r="F647" s="31" t="str">
        <x:v>Flow recovering</x:v>
      </x:c>
      <x:c r="G647" s="31" t="str">
        <x:f>IF(C647="","NO DATA",IF(C647&gt;=30,"ALERT","NORMAL"))</x:f>
        <x:v>NORMAL</x:v>
      </x:c>
      <x:c r="H647" s="31" t="str">
        <x:f>IF(C647="","MISSING",IF(C647&gt;=30,"HIGH TEMP","OK"))</x:f>
        <x:v>OK</x:v>
      </x:c>
      <x:c r="I647" s="31" t="str">
        <x:f>IF(E647="","NO DATA",IF(E647&lt;20,"LOW FLOW","OK"))</x:f>
        <x:v>OK</x:v>
      </x:c>
      <x:c r="J647" s="31" t="str">
        <x:f>IF(OR(C647="",D647="",E647=""),"MISSING",IF(OR(C647&lt;0,C647&gt;60,D647&lt;50,D647&gt;400,E647&lt;0,E647&gt;200),"REVIEW","OK"))</x:f>
        <x:v>OK</x:v>
      </x:c>
    </x:row>
    <x:row r="648">
      <x:c r="A648" s="31" t="n">
        <x:v>647</x:v>
      </x:c>
      <x:c r="B648" s="32" t="n">
        <x:v>46310.408101851855</x:v>
      </x:c>
      <x:c r="C648" s="33" t="n">
        <x:v>24.459</x:v>
      </x:c>
      <x:c r="D648" s="33" t="n">
        <x:v>214.794</x:v>
      </x:c>
      <x:c r="E648" s="33" t="n">
        <x:v>75.126</x:v>
      </x:c>
      <x:c r="F648" s="31" t="str">
        <x:v>Flow recovering</x:v>
      </x:c>
      <x:c r="G648" s="31" t="str">
        <x:f>IF(C648="","NO DATA",IF(C648&gt;=30,"ALERT","NORMAL"))</x:f>
        <x:v>NORMAL</x:v>
      </x:c>
      <x:c r="H648" s="31" t="str">
        <x:f>IF(C648="","MISSING",IF(C648&gt;=30,"HIGH TEMP","OK"))</x:f>
        <x:v>OK</x:v>
      </x:c>
      <x:c r="I648" s="31" t="str">
        <x:f>IF(E648="","NO DATA",IF(E648&lt;20,"LOW FLOW","OK"))</x:f>
        <x:v>OK</x:v>
      </x:c>
      <x:c r="J648" s="31" t="str">
        <x:f>IF(OR(C648="",D648="",E648=""),"MISSING",IF(OR(C648&lt;0,C648&gt;60,D648&lt;50,D648&gt;400,E648&lt;0,E648&gt;200),"REVIEW","OK"))</x:f>
        <x:v>OK</x:v>
      </x:c>
    </x:row>
    <x:row r="649">
      <x:c r="A649" s="31" t="n">
        <x:v>648</x:v>
      </x:c>
      <x:c r="B649" s="32" t="n">
        <x:v>46310.408217592594</x:v>
      </x:c>
      <x:c r="C649" s="33" t="n">
        <x:v>24.318</x:v>
      </x:c>
      <x:c r="D649" s="33" t="n">
        <x:v>213.588</x:v>
      </x:c>
      <x:c r="E649" s="33" t="n">
        <x:v>80.414</x:v>
      </x:c>
      <x:c r="F649" s="31" t="str"/>
      <x:c r="G649" s="31" t="str">
        <x:f>IF(C649="","NO DATA",IF(C649&gt;=30,"ALERT","NORMAL"))</x:f>
        <x:v>NORMAL</x:v>
      </x:c>
      <x:c r="H649" s="31" t="str">
        <x:f>IF(C649="","MISSING",IF(C649&gt;=30,"HIGH TEMP","OK"))</x:f>
        <x:v>OK</x:v>
      </x:c>
      <x:c r="I649" s="31" t="str">
        <x:f>IF(E649="","NO DATA",IF(E649&lt;20,"LOW FLOW","OK"))</x:f>
        <x:v>OK</x:v>
      </x:c>
      <x:c r="J649" s="31" t="str">
        <x:f>IF(OR(C649="",D649="",E649=""),"MISSING",IF(OR(C649&lt;0,C649&gt;60,D649&lt;50,D649&gt;400,E649&lt;0,E649&gt;200),"REVIEW","OK"))</x:f>
        <x:v>OK</x:v>
      </x:c>
    </x:row>
    <x:row r="650">
      <x:c r="A650" s="31" t="n">
        <x:v>649</x:v>
      </x:c>
      <x:c r="B650" s="32" t="n">
        <x:v>46310.40833333333</x:v>
      </x:c>
      <x:c r="C650" s="33" t="n">
        <x:v>24.487</x:v>
      </x:c>
      <x:c r="D650" s="33" t="n">
        <x:v>214.057</x:v>
      </x:c>
      <x:c r="E650" s="33" t="n">
        <x:v>79.912</x:v>
      </x:c>
      <x:c r="F650" s="31" t="str"/>
      <x:c r="G650" s="31" t="str">
        <x:f>IF(C650="","NO DATA",IF(C650&gt;=30,"ALERT","NORMAL"))</x:f>
        <x:v>NORMAL</x:v>
      </x:c>
      <x:c r="H650" s="31" t="str">
        <x:f>IF(C650="","MISSING",IF(C650&gt;=30,"HIGH TEMP","OK"))</x:f>
        <x:v>OK</x:v>
      </x:c>
      <x:c r="I650" s="31" t="str">
        <x:f>IF(E650="","NO DATA",IF(E650&lt;20,"LOW FLOW","OK"))</x:f>
        <x:v>OK</x:v>
      </x:c>
      <x:c r="J650" s="31" t="str">
        <x:f>IF(OR(C650="",D650="",E650=""),"MISSING",IF(OR(C650&lt;0,C650&gt;60,D650&lt;50,D650&gt;400,E650&lt;0,E650&gt;200),"REVIEW","OK"))</x:f>
        <x:v>OK</x:v>
      </x:c>
    </x:row>
    <x:row r="651">
      <x:c r="A651" s="31" t="n">
        <x:v>650</x:v>
      </x:c>
      <x:c r="B651" s="32" t="n">
        <x:v>46310.40844907407</x:v>
      </x:c>
      <x:c r="C651" s="33" t="n">
        <x:v>24.314</x:v>
      </x:c>
      <x:c r="D651" s="33" t="n">
        <x:v>213.23</x:v>
      </x:c>
      <x:c r="E651" s="33" t="n">
        <x:v>78.335</x:v>
      </x:c>
      <x:c r="F651" s="31" t="str"/>
      <x:c r="G651" s="31" t="str">
        <x:f>IF(C651="","NO DATA",IF(C651&gt;=30,"ALERT","NORMAL"))</x:f>
        <x:v>NORMAL</x:v>
      </x:c>
      <x:c r="H651" s="31" t="str">
        <x:f>IF(C651="","MISSING",IF(C651&gt;=30,"HIGH TEMP","OK"))</x:f>
        <x:v>OK</x:v>
      </x:c>
      <x:c r="I651" s="31" t="str">
        <x:f>IF(E651="","NO DATA",IF(E651&lt;20,"LOW FLOW","OK"))</x:f>
        <x:v>OK</x:v>
      </x:c>
      <x:c r="J651" s="31" t="str">
        <x:f>IF(OR(C651="",D651="",E651=""),"MISSING",IF(OR(C651&lt;0,C651&gt;60,D651&lt;50,D651&gt;400,E651&lt;0,E651&gt;200),"REVIEW","OK"))</x:f>
        <x:v>OK</x:v>
      </x:c>
    </x:row>
    <x:row r="652">
      <x:c r="A652" s="31" t="n">
        <x:v>651</x:v>
      </x:c>
      <x:c r="B652" s="32" t="n">
        <x:v>46310.40856481482</x:v>
      </x:c>
      <x:c r="C652" s="33" t="n">
        <x:v>24.344</x:v>
      </x:c>
      <x:c r="D652" s="33" t="n">
        <x:v>214.179</x:v>
      </x:c>
      <x:c r="E652" s="33" t="n">
        <x:v>79.07</x:v>
      </x:c>
      <x:c r="F652" s="31" t="str"/>
      <x:c r="G652" s="31" t="str">
        <x:f>IF(C652="","NO DATA",IF(C652&gt;=30,"ALERT","NORMAL"))</x:f>
        <x:v>NORMAL</x:v>
      </x:c>
      <x:c r="H652" s="31" t="str">
        <x:f>IF(C652="","MISSING",IF(C652&gt;=30,"HIGH TEMP","OK"))</x:f>
        <x:v>OK</x:v>
      </x:c>
      <x:c r="I652" s="31" t="str">
        <x:f>IF(E652="","NO DATA",IF(E652&lt;20,"LOW FLOW","OK"))</x:f>
        <x:v>OK</x:v>
      </x:c>
      <x:c r="J652" s="31" t="str">
        <x:f>IF(OR(C652="",D652="",E652=""),"MISSING",IF(OR(C652&lt;0,C652&gt;60,D652&lt;50,D652&gt;400,E652&lt;0,E652&gt;200),"REVIEW","OK"))</x:f>
        <x:v>OK</x:v>
      </x:c>
    </x:row>
    <x:row r="653">
      <x:c r="A653" s="31" t="n">
        <x:v>652</x:v>
      </x:c>
      <x:c r="B653" s="32" t="n">
        <x:v>46310.408680555556</x:v>
      </x:c>
      <x:c r="C653" s="33" t="n">
        <x:v>24.499</x:v>
      </x:c>
      <x:c r="D653" s="33" t="n">
        <x:v>212.749</x:v>
      </x:c>
      <x:c r="E653" s="33" t="n">
        <x:v>79.595</x:v>
      </x:c>
      <x:c r="F653" s="31" t="str"/>
      <x:c r="G653" s="31" t="str">
        <x:f>IF(C653="","NO DATA",IF(C653&gt;=30,"ALERT","NORMAL"))</x:f>
        <x:v>NORMAL</x:v>
      </x:c>
      <x:c r="H653" s="31" t="str">
        <x:f>IF(C653="","MISSING",IF(C653&gt;=30,"HIGH TEMP","OK"))</x:f>
        <x:v>OK</x:v>
      </x:c>
      <x:c r="I653" s="31" t="str">
        <x:f>IF(E653="","NO DATA",IF(E653&lt;20,"LOW FLOW","OK"))</x:f>
        <x:v>OK</x:v>
      </x:c>
      <x:c r="J653" s="31" t="str">
        <x:f>IF(OR(C653="",D653="",E653=""),"MISSING",IF(OR(C653&lt;0,C653&gt;60,D653&lt;50,D653&gt;400,E653&lt;0,E653&gt;200),"REVIEW","OK"))</x:f>
        <x:v>OK</x:v>
      </x:c>
    </x:row>
    <x:row r="654">
      <x:c r="A654" s="31" t="n">
        <x:v>653</x:v>
      </x:c>
      <x:c r="B654" s="32" t="n">
        <x:v>46310.408796296295</x:v>
      </x:c>
      <x:c r="C654" s="33" t="n">
        <x:v>24.498</x:v>
      </x:c>
      <x:c r="D654" s="33" t="n">
        <x:v>214.518</x:v>
      </x:c>
      <x:c r="E654" s="33" t="n">
        <x:v>79.215</x:v>
      </x:c>
      <x:c r="F654" s="31" t="str"/>
      <x:c r="G654" s="31" t="str">
        <x:f>IF(C654="","NO DATA",IF(C654&gt;=30,"ALERT","NORMAL"))</x:f>
        <x:v>NORMAL</x:v>
      </x:c>
      <x:c r="H654" s="31" t="str">
        <x:f>IF(C654="","MISSING",IF(C654&gt;=30,"HIGH TEMP","OK"))</x:f>
        <x:v>OK</x:v>
      </x:c>
      <x:c r="I654" s="31" t="str">
        <x:f>IF(E654="","NO DATA",IF(E654&lt;20,"LOW FLOW","OK"))</x:f>
        <x:v>OK</x:v>
      </x:c>
      <x:c r="J654" s="31" t="str">
        <x:f>IF(OR(C654="",D654="",E654=""),"MISSING",IF(OR(C654&lt;0,C654&gt;60,D654&lt;50,D654&gt;400,E654&lt;0,E654&gt;200),"REVIEW","OK"))</x:f>
        <x:v>OK</x:v>
      </x:c>
    </x:row>
    <x:row r="655">
      <x:c r="A655" s="31" t="n">
        <x:v>654</x:v>
      </x:c>
      <x:c r="B655" s="32" t="n">
        <x:v>46310.40891203703</x:v>
      </x:c>
      <x:c r="C655" s="33" t="n">
        <x:v>24.558</x:v>
      </x:c>
      <x:c r="D655" s="33" t="n">
        <x:v>213.37</x:v>
      </x:c>
      <x:c r="E655" s="33" t="n">
        <x:v>78.162</x:v>
      </x:c>
      <x:c r="F655" s="31" t="str"/>
      <x:c r="G655" s="31" t="str">
        <x:f>IF(C655="","NO DATA",IF(C655&gt;=30,"ALERT","NORMAL"))</x:f>
        <x:v>NORMAL</x:v>
      </x:c>
      <x:c r="H655" s="31" t="str">
        <x:f>IF(C655="","MISSING",IF(C655&gt;=30,"HIGH TEMP","OK"))</x:f>
        <x:v>OK</x:v>
      </x:c>
      <x:c r="I655" s="31" t="str">
        <x:f>IF(E655="","NO DATA",IF(E655&lt;20,"LOW FLOW","OK"))</x:f>
        <x:v>OK</x:v>
      </x:c>
      <x:c r="J655" s="31" t="str">
        <x:f>IF(OR(C655="",D655="",E655=""),"MISSING",IF(OR(C655&lt;0,C655&gt;60,D655&lt;50,D655&gt;400,E655&lt;0,E655&gt;200),"REVIEW","OK"))</x:f>
        <x:v>OK</x:v>
      </x:c>
    </x:row>
    <x:row r="656">
      <x:c r="A656" s="31" t="n">
        <x:v>655</x:v>
      </x:c>
      <x:c r="B656" s="32" t="n">
        <x:v>46310.40902777778</x:v>
      </x:c>
      <x:c r="C656" s="33" t="n">
        <x:v>24.351</x:v>
      </x:c>
      <x:c r="D656" s="33" t="n">
        <x:v>212.229</x:v>
      </x:c>
      <x:c r="E656" s="33" t="n">
        <x:v>79.373</x:v>
      </x:c>
      <x:c r="F656" s="31" t="str"/>
      <x:c r="G656" s="31" t="str">
        <x:f>IF(C656="","NO DATA",IF(C656&gt;=30,"ALERT","NORMAL"))</x:f>
        <x:v>NORMAL</x:v>
      </x:c>
      <x:c r="H656" s="31" t="str">
        <x:f>IF(C656="","MISSING",IF(C656&gt;=30,"HIGH TEMP","OK"))</x:f>
        <x:v>OK</x:v>
      </x:c>
      <x:c r="I656" s="31" t="str">
        <x:f>IF(E656="","NO DATA",IF(E656&lt;20,"LOW FLOW","OK"))</x:f>
        <x:v>OK</x:v>
      </x:c>
      <x:c r="J656" s="31" t="str">
        <x:f>IF(OR(C656="",D656="",E656=""),"MISSING",IF(OR(C656&lt;0,C656&gt;60,D656&lt;50,D656&gt;400,E656&lt;0,E656&gt;200),"REVIEW","OK"))</x:f>
        <x:v>OK</x:v>
      </x:c>
    </x:row>
    <x:row r="657">
      <x:c r="A657" s="31" t="n">
        <x:v>656</x:v>
      </x:c>
      <x:c r="B657" s="32" t="n">
        <x:v>46310.40914351852</x:v>
      </x:c>
      <x:c r="C657" s="33" t="n">
        <x:v>24.565</x:v>
      </x:c>
      <x:c r="D657" s="33" t="n">
        <x:v>214.078</x:v>
      </x:c>
      <x:c r="E657" s="33" t="n">
        <x:v>78.03</x:v>
      </x:c>
      <x:c r="F657" s="31" t="str"/>
      <x:c r="G657" s="31" t="str">
        <x:f>IF(C657="","NO DATA",IF(C657&gt;=30,"ALERT","NORMAL"))</x:f>
        <x:v>NORMAL</x:v>
      </x:c>
      <x:c r="H657" s="31" t="str">
        <x:f>IF(C657="","MISSING",IF(C657&gt;=30,"HIGH TEMP","OK"))</x:f>
        <x:v>OK</x:v>
      </x:c>
      <x:c r="I657" s="31" t="str">
        <x:f>IF(E657="","NO DATA",IF(E657&lt;20,"LOW FLOW","OK"))</x:f>
        <x:v>OK</x:v>
      </x:c>
      <x:c r="J657" s="31" t="str">
        <x:f>IF(OR(C657="",D657="",E657=""),"MISSING",IF(OR(C657&lt;0,C657&gt;60,D657&lt;50,D657&gt;400,E657&lt;0,E657&gt;200),"REVIEW","OK"))</x:f>
        <x:v>OK</x:v>
      </x:c>
    </x:row>
    <x:row r="658">
      <x:c r="A658" s="31" t="n">
        <x:v>657</x:v>
      </x:c>
      <x:c r="B658" s="32" t="n">
        <x:v>46310.40925925926</x:v>
      </x:c>
      <x:c r="C658" s="33" t="n">
        <x:v>24.515</x:v>
      </x:c>
      <x:c r="D658" s="33" t="n">
        <x:v>212.023</x:v>
      </x:c>
      <x:c r="E658" s="33" t="n">
        <x:v>78.445</x:v>
      </x:c>
      <x:c r="F658" s="31" t="str"/>
      <x:c r="G658" s="31" t="str">
        <x:f>IF(C658="","NO DATA",IF(C658&gt;=30,"ALERT","NORMAL"))</x:f>
        <x:v>NORMAL</x:v>
      </x:c>
      <x:c r="H658" s="31" t="str">
        <x:f>IF(C658="","MISSING",IF(C658&gt;=30,"HIGH TEMP","OK"))</x:f>
        <x:v>OK</x:v>
      </x:c>
      <x:c r="I658" s="31" t="str">
        <x:f>IF(E658="","NO DATA",IF(E658&lt;20,"LOW FLOW","OK"))</x:f>
        <x:v>OK</x:v>
      </x:c>
      <x:c r="J658" s="31" t="str">
        <x:f>IF(OR(C658="",D658="",E658=""),"MISSING",IF(OR(C658&lt;0,C658&gt;60,D658&lt;50,D658&gt;400,E658&lt;0,E658&gt;200),"REVIEW","OK"))</x:f>
        <x:v>OK</x:v>
      </x:c>
    </x:row>
    <x:row r="659">
      <x:c r="A659" s="31" t="n">
        <x:v>658</x:v>
      </x:c>
      <x:c r="B659" s="32" t="n">
        <x:v>46310.409375</x:v>
      </x:c>
      <x:c r="C659" s="33" t="n">
        <x:v>24.508</x:v>
      </x:c>
      <x:c r="D659" s="33" t="n">
        <x:v>213.171</x:v>
      </x:c>
      <x:c r="E659" s="33" t="n">
        <x:v>79.897</x:v>
      </x:c>
      <x:c r="F659" s="31" t="str"/>
      <x:c r="G659" s="31" t="str">
        <x:f>IF(C659="","NO DATA",IF(C659&gt;=30,"ALERT","NORMAL"))</x:f>
        <x:v>NORMAL</x:v>
      </x:c>
      <x:c r="H659" s="31" t="str">
        <x:f>IF(C659="","MISSING",IF(C659&gt;=30,"HIGH TEMP","OK"))</x:f>
        <x:v>OK</x:v>
      </x:c>
      <x:c r="I659" s="31" t="str">
        <x:f>IF(E659="","NO DATA",IF(E659&lt;20,"LOW FLOW","OK"))</x:f>
        <x:v>OK</x:v>
      </x:c>
      <x:c r="J659" s="31" t="str">
        <x:f>IF(OR(C659="",D659="",E659=""),"MISSING",IF(OR(C659&lt;0,C659&gt;60,D659&lt;50,D659&gt;400,E659&lt;0,E659&gt;200),"REVIEW","OK"))</x:f>
        <x:v>OK</x:v>
      </x:c>
    </x:row>
    <x:row r="660">
      <x:c r="A660" s="31" t="n">
        <x:v>659</x:v>
      </x:c>
      <x:c r="B660" s="32" t="n">
        <x:v>46310.40949074074</x:v>
      </x:c>
      <x:c r="C660" s="33" t="n">
        <x:v>24.37</x:v>
      </x:c>
      <x:c r="D660" s="33" t="n">
        <x:v>213.556</x:v>
      </x:c>
      <x:c r="E660" s="33" t="n">
        <x:v>79.544</x:v>
      </x:c>
      <x:c r="F660" s="31" t="str"/>
      <x:c r="G660" s="31" t="str">
        <x:f>IF(C660="","NO DATA",IF(C660&gt;=30,"ALERT","NORMAL"))</x:f>
        <x:v>NORMAL</x:v>
      </x:c>
      <x:c r="H660" s="31" t="str">
        <x:f>IF(C660="","MISSING",IF(C660&gt;=30,"HIGH TEMP","OK"))</x:f>
        <x:v>OK</x:v>
      </x:c>
      <x:c r="I660" s="31" t="str">
        <x:f>IF(E660="","NO DATA",IF(E660&lt;20,"LOW FLOW","OK"))</x:f>
        <x:v>OK</x:v>
      </x:c>
      <x:c r="J660" s="31" t="str">
        <x:f>IF(OR(C660="",D660="",E660=""),"MISSING",IF(OR(C660&lt;0,C660&gt;60,D660&lt;50,D660&gt;400,E660&lt;0,E660&gt;200),"REVIEW","OK"))</x:f>
        <x:v>OK</x:v>
      </x:c>
    </x:row>
    <x:row r="661">
      <x:c r="A661" s="31" t="n">
        <x:v>660</x:v>
      </x:c>
      <x:c r="B661" s="32" t="n">
        <x:v>46310.40960648148</x:v>
      </x:c>
      <x:c r="C661" s="33" t="n">
        <x:v>24.488</x:v>
      </x:c>
      <x:c r="D661" s="33" t="n">
        <x:v>212.615</x:v>
      </x:c>
      <x:c r="E661" s="33" t="n">
        <x:v>79.905</x:v>
      </x:c>
      <x:c r="F661" s="31" t="str"/>
      <x:c r="G661" s="31" t="str">
        <x:f>IF(C661="","NO DATA",IF(C661&gt;=30,"ALERT","NORMAL"))</x:f>
        <x:v>NORMAL</x:v>
      </x:c>
      <x:c r="H661" s="31" t="str">
        <x:f>IF(C661="","MISSING",IF(C661&gt;=30,"HIGH TEMP","OK"))</x:f>
        <x:v>OK</x:v>
      </x:c>
      <x:c r="I661" s="31" t="str">
        <x:f>IF(E661="","NO DATA",IF(E661&lt;20,"LOW FLOW","OK"))</x:f>
        <x:v>OK</x:v>
      </x:c>
      <x:c r="J661" s="31" t="str">
        <x:f>IF(OR(C661="",D661="",E661=""),"MISSING",IF(OR(C661&lt;0,C661&gt;60,D661&lt;50,D661&gt;400,E661&lt;0,E661&gt;200),"REVIEW","OK"))</x:f>
        <x:v>OK</x:v>
      </x:c>
    </x:row>
    <x:row r="662">
      <x:c r="A662" s="31" t="n">
        <x:v>661</x:v>
      </x:c>
      <x:c r="B662" s="32" t="n">
        <x:v>46310.40972222222</x:v>
      </x:c>
      <x:c r="C662" s="33" t="n">
        <x:v>24.427</x:v>
      </x:c>
      <x:c r="D662" s="33" t="n">
        <x:v>213.95</x:v>
      </x:c>
      <x:c r="E662" s="33" t="n">
        <x:v>77.873</x:v>
      </x:c>
      <x:c r="F662" s="31" t="str"/>
      <x:c r="G662" s="31" t="str">
        <x:f>IF(C662="","NO DATA",IF(C662&gt;=30,"ALERT","NORMAL"))</x:f>
        <x:v>NORMAL</x:v>
      </x:c>
      <x:c r="H662" s="31" t="str">
        <x:f>IF(C662="","MISSING",IF(C662&gt;=30,"HIGH TEMP","OK"))</x:f>
        <x:v>OK</x:v>
      </x:c>
      <x:c r="I662" s="31" t="str">
        <x:f>IF(E662="","NO DATA",IF(E662&lt;20,"LOW FLOW","OK"))</x:f>
        <x:v>OK</x:v>
      </x:c>
      <x:c r="J662" s="31" t="str">
        <x:f>IF(OR(C662="",D662="",E662=""),"MISSING",IF(OR(C662&lt;0,C662&gt;60,D662&lt;50,D662&gt;400,E662&lt;0,E662&gt;200),"REVIEW","OK"))</x:f>
        <x:v>OK</x:v>
      </x:c>
    </x:row>
    <x:row r="663">
      <x:c r="A663" s="31" t="n">
        <x:v>662</x:v>
      </x:c>
      <x:c r="B663" s="32" t="n">
        <x:v>46310.409837962965</x:v>
      </x:c>
      <x:c r="C663" s="33" t="n">
        <x:v>24.614</x:v>
      </x:c>
      <x:c r="D663" s="33" t="n">
        <x:v>213.866</x:v>
      </x:c>
      <x:c r="E663" s="33" t="n">
        <x:v>78.142</x:v>
      </x:c>
      <x:c r="F663" s="31" t="str"/>
      <x:c r="G663" s="31" t="str">
        <x:f>IF(C663="","NO DATA",IF(C663&gt;=30,"ALERT","NORMAL"))</x:f>
        <x:v>NORMAL</x:v>
      </x:c>
      <x:c r="H663" s="31" t="str">
        <x:f>IF(C663="","MISSING",IF(C663&gt;=30,"HIGH TEMP","OK"))</x:f>
        <x:v>OK</x:v>
      </x:c>
      <x:c r="I663" s="31" t="str">
        <x:f>IF(E663="","NO DATA",IF(E663&lt;20,"LOW FLOW","OK"))</x:f>
        <x:v>OK</x:v>
      </x:c>
      <x:c r="J663" s="31" t="str">
        <x:f>IF(OR(C663="",D663="",E663=""),"MISSING",IF(OR(C663&lt;0,C663&gt;60,D663&lt;50,D663&gt;400,E663&lt;0,E663&gt;200),"REVIEW","OK"))</x:f>
        <x:v>OK</x:v>
      </x:c>
    </x:row>
    <x:row r="664">
      <x:c r="A664" s="31" t="n">
        <x:v>663</x:v>
      </x:c>
      <x:c r="B664" s="32" t="n">
        <x:v>46310.409953703704</x:v>
      </x:c>
      <x:c r="C664" s="33" t="n">
        <x:v>24.637</x:v>
      </x:c>
      <x:c r="D664" s="33" t="n">
        <x:v>212.314</x:v>
      </x:c>
      <x:c r="E664" s="33" t="n">
        <x:v>78.472</x:v>
      </x:c>
      <x:c r="F664" s="31" t="str"/>
      <x:c r="G664" s="31" t="str">
        <x:f>IF(C664="","NO DATA",IF(C664&gt;=30,"ALERT","NORMAL"))</x:f>
        <x:v>NORMAL</x:v>
      </x:c>
      <x:c r="H664" s="31" t="str">
        <x:f>IF(C664="","MISSING",IF(C664&gt;=30,"HIGH TEMP","OK"))</x:f>
        <x:v>OK</x:v>
      </x:c>
      <x:c r="I664" s="31" t="str">
        <x:f>IF(E664="","NO DATA",IF(E664&lt;20,"LOW FLOW","OK"))</x:f>
        <x:v>OK</x:v>
      </x:c>
      <x:c r="J664" s="31" t="str">
        <x:f>IF(OR(C664="",D664="",E664=""),"MISSING",IF(OR(C664&lt;0,C664&gt;60,D664&lt;50,D664&gt;400,E664&lt;0,E664&gt;200),"REVIEW","OK"))</x:f>
        <x:v>OK</x:v>
      </x:c>
    </x:row>
    <x:row r="665">
      <x:c r="A665" s="31" t="n">
        <x:v>664</x:v>
      </x:c>
      <x:c r="B665" s="32" t="n">
        <x:v>46310.41006944444</x:v>
      </x:c>
      <x:c r="C665" s="33" t="n">
        <x:v>24.523</x:v>
      </x:c>
      <x:c r="D665" s="33" t="n">
        <x:v>211.385</x:v>
      </x:c>
      <x:c r="E665" s="33" t="n">
        <x:v>80.123</x:v>
      </x:c>
      <x:c r="F665" s="31" t="str"/>
      <x:c r="G665" s="31" t="str">
        <x:f>IF(C665="","NO DATA",IF(C665&gt;=30,"ALERT","NORMAL"))</x:f>
        <x:v>NORMAL</x:v>
      </x:c>
      <x:c r="H665" s="31" t="str">
        <x:f>IF(C665="","MISSING",IF(C665&gt;=30,"HIGH TEMP","OK"))</x:f>
        <x:v>OK</x:v>
      </x:c>
      <x:c r="I665" s="31" t="str">
        <x:f>IF(E665="","NO DATA",IF(E665&lt;20,"LOW FLOW","OK"))</x:f>
        <x:v>OK</x:v>
      </x:c>
      <x:c r="J665" s="31" t="str">
        <x:f>IF(OR(C665="",D665="",E665=""),"MISSING",IF(OR(C665&lt;0,C665&gt;60,D665&lt;50,D665&gt;400,E665&lt;0,E665&gt;200),"REVIEW","OK"))</x:f>
        <x:v>OK</x:v>
      </x:c>
    </x:row>
    <x:row r="666">
      <x:c r="A666" s="31" t="n">
        <x:v>665</x:v>
      </x:c>
      <x:c r="B666" s="32" t="n">
        <x:v>46310.41018518519</x:v>
      </x:c>
      <x:c r="C666" s="33" t="n">
        <x:v>24.51</x:v>
      </x:c>
      <x:c r="D666" s="33" t="n">
        <x:v>212.991</x:v>
      </x:c>
      <x:c r="E666" s="33" t="n">
        <x:v>78.882</x:v>
      </x:c>
      <x:c r="F666" s="31" t="str"/>
      <x:c r="G666" s="31" t="str">
        <x:f>IF(C666="","NO DATA",IF(C666&gt;=30,"ALERT","NORMAL"))</x:f>
        <x:v>NORMAL</x:v>
      </x:c>
      <x:c r="H666" s="31" t="str">
        <x:f>IF(C666="","MISSING",IF(C666&gt;=30,"HIGH TEMP","OK"))</x:f>
        <x:v>OK</x:v>
      </x:c>
      <x:c r="I666" s="31" t="str">
        <x:f>IF(E666="","NO DATA",IF(E666&lt;20,"LOW FLOW","OK"))</x:f>
        <x:v>OK</x:v>
      </x:c>
      <x:c r="J666" s="31" t="str">
        <x:f>IF(OR(C666="",D666="",E666=""),"MISSING",IF(OR(C666&lt;0,C666&gt;60,D666&lt;50,D666&gt;400,E666&lt;0,E666&gt;200),"REVIEW","OK"))</x:f>
        <x:v>OK</x:v>
      </x:c>
    </x:row>
    <x:row r="667">
      <x:c r="A667" s="31" t="n">
        <x:v>666</x:v>
      </x:c>
      <x:c r="B667" s="32" t="n">
        <x:v>46310.41030092593</x:v>
      </x:c>
      <x:c r="C667" s="33" t="n">
        <x:v>24.507</x:v>
      </x:c>
      <x:c r="D667" s="33" t="n">
        <x:v>211.633</x:v>
      </x:c>
      <x:c r="E667" s="33" t="n">
        <x:v>78.644</x:v>
      </x:c>
      <x:c r="F667" s="31" t="str"/>
      <x:c r="G667" s="31" t="str">
        <x:f>IF(C667="","NO DATA",IF(C667&gt;=30,"ALERT","NORMAL"))</x:f>
        <x:v>NORMAL</x:v>
      </x:c>
      <x:c r="H667" s="31" t="str">
        <x:f>IF(C667="","MISSING",IF(C667&gt;=30,"HIGH TEMP","OK"))</x:f>
        <x:v>OK</x:v>
      </x:c>
      <x:c r="I667" s="31" t="str">
        <x:f>IF(E667="","NO DATA",IF(E667&lt;20,"LOW FLOW","OK"))</x:f>
        <x:v>OK</x:v>
      </x:c>
      <x:c r="J667" s="31" t="str">
        <x:f>IF(OR(C667="",D667="",E667=""),"MISSING",IF(OR(C667&lt;0,C667&gt;60,D667&lt;50,D667&gt;400,E667&lt;0,E667&gt;200),"REVIEW","OK"))</x:f>
        <x:v>OK</x:v>
      </x:c>
    </x:row>
    <x:row r="668">
      <x:c r="A668" s="31" t="n">
        <x:v>667</x:v>
      </x:c>
      <x:c r="B668" s="32" t="n">
        <x:v>46310.410416666666</x:v>
      </x:c>
      <x:c r="C668" s="33" t="n">
        <x:v>24.503</x:v>
      </x:c>
      <x:c r="D668" s="33" t="n">
        <x:v>211.935</x:v>
      </x:c>
      <x:c r="E668" s="33" t="n">
        <x:v>78.307</x:v>
      </x:c>
      <x:c r="F668" s="31" t="str"/>
      <x:c r="G668" s="31" t="str">
        <x:f>IF(C668="","NO DATA",IF(C668&gt;=30,"ALERT","NORMAL"))</x:f>
        <x:v>NORMAL</x:v>
      </x:c>
      <x:c r="H668" s="31" t="str">
        <x:f>IF(C668="","MISSING",IF(C668&gt;=30,"HIGH TEMP","OK"))</x:f>
        <x:v>OK</x:v>
      </x:c>
      <x:c r="I668" s="31" t="str">
        <x:f>IF(E668="","NO DATA",IF(E668&lt;20,"LOW FLOW","OK"))</x:f>
        <x:v>OK</x:v>
      </x:c>
      <x:c r="J668" s="31" t="str">
        <x:f>IF(OR(C668="",D668="",E668=""),"MISSING",IF(OR(C668&lt;0,C668&gt;60,D668&lt;50,D668&gt;400,E668&lt;0,E668&gt;200),"REVIEW","OK"))</x:f>
        <x:v>OK</x:v>
      </x:c>
    </x:row>
    <x:row r="669">
      <x:c r="A669" s="31" t="n">
        <x:v>668</x:v>
      </x:c>
      <x:c r="B669" s="32" t="n">
        <x:v>46310.410532407404</x:v>
      </x:c>
      <x:c r="C669" s="33" t="n">
        <x:v>24.644</x:v>
      </x:c>
      <x:c r="D669" s="33" t="n">
        <x:v>211.738</x:v>
      </x:c>
      <x:c r="E669" s="33" t="n">
        <x:v>80.145</x:v>
      </x:c>
      <x:c r="F669" s="31" t="str"/>
      <x:c r="G669" s="31" t="str">
        <x:f>IF(C669="","NO DATA",IF(C669&gt;=30,"ALERT","NORMAL"))</x:f>
        <x:v>NORMAL</x:v>
      </x:c>
      <x:c r="H669" s="31" t="str">
        <x:f>IF(C669="","MISSING",IF(C669&gt;=30,"HIGH TEMP","OK"))</x:f>
        <x:v>OK</x:v>
      </x:c>
      <x:c r="I669" s="31" t="str">
        <x:f>IF(E669="","NO DATA",IF(E669&lt;20,"LOW FLOW","OK"))</x:f>
        <x:v>OK</x:v>
      </x:c>
      <x:c r="J669" s="31" t="str">
        <x:f>IF(OR(C669="",D669="",E669=""),"MISSING",IF(OR(C669&lt;0,C669&gt;60,D669&lt;50,D669&gt;400,E669&lt;0,E669&gt;200),"REVIEW","OK"))</x:f>
        <x:v>OK</x:v>
      </x:c>
    </x:row>
    <x:row r="670">
      <x:c r="A670" s="31" t="n">
        <x:v>669</x:v>
      </x:c>
      <x:c r="B670" s="32" t="n">
        <x:v>46310.41064814815</x:v>
      </x:c>
      <x:c r="C670" s="33" t="n">
        <x:v>24.624</x:v>
      </x:c>
      <x:c r="D670" s="33" t="n">
        <x:v>211.326</x:v>
      </x:c>
      <x:c r="E670" s="33" t="n">
        <x:v>79.188</x:v>
      </x:c>
      <x:c r="F670" s="31" t="str"/>
      <x:c r="G670" s="31" t="str">
        <x:f>IF(C670="","NO DATA",IF(C670&gt;=30,"ALERT","NORMAL"))</x:f>
        <x:v>NORMAL</x:v>
      </x:c>
      <x:c r="H670" s="31" t="str">
        <x:f>IF(C670="","MISSING",IF(C670&gt;=30,"HIGH TEMP","OK"))</x:f>
        <x:v>OK</x:v>
      </x:c>
      <x:c r="I670" s="31" t="str">
        <x:f>IF(E670="","NO DATA",IF(E670&lt;20,"LOW FLOW","OK"))</x:f>
        <x:v>OK</x:v>
      </x:c>
      <x:c r="J670" s="31" t="str">
        <x:f>IF(OR(C670="",D670="",E670=""),"MISSING",IF(OR(C670&lt;0,C670&gt;60,D670&lt;50,D670&gt;400,E670&lt;0,E670&gt;200),"REVIEW","OK"))</x:f>
        <x:v>OK</x:v>
      </x:c>
    </x:row>
    <x:row r="671">
      <x:c r="A671" s="31" t="n">
        <x:v>670</x:v>
      </x:c>
      <x:c r="B671" s="32" t="n">
        <x:v>46310.41076388889</x:v>
      </x:c>
      <x:c r="C671" s="33" t="n">
        <x:v>24.518</x:v>
      </x:c>
      <x:c r="D671" s="33" t="n">
        <x:v>210.76</x:v>
      </x:c>
      <x:c r="E671" s="33" t="n">
        <x:v>78.615</x:v>
      </x:c>
      <x:c r="F671" s="31" t="str"/>
      <x:c r="G671" s="31" t="str">
        <x:f>IF(C671="","NO DATA",IF(C671&gt;=30,"ALERT","NORMAL"))</x:f>
        <x:v>NORMAL</x:v>
      </x:c>
      <x:c r="H671" s="31" t="str">
        <x:f>IF(C671="","MISSING",IF(C671&gt;=30,"HIGH TEMP","OK"))</x:f>
        <x:v>OK</x:v>
      </x:c>
      <x:c r="I671" s="31" t="str">
        <x:f>IF(E671="","NO DATA",IF(E671&lt;20,"LOW FLOW","OK"))</x:f>
        <x:v>OK</x:v>
      </x:c>
      <x:c r="J671" s="31" t="str">
        <x:f>IF(OR(C671="",D671="",E671=""),"MISSING",IF(OR(C671&lt;0,C671&gt;60,D671&lt;50,D671&gt;400,E671&lt;0,E671&gt;200),"REVIEW","OK"))</x:f>
        <x:v>OK</x:v>
      </x:c>
    </x:row>
    <x:row r="672">
      <x:c r="A672" s="31" t="n">
        <x:v>671</x:v>
      </x:c>
      <x:c r="B672" s="32" t="n">
        <x:v>46310.41087962963</x:v>
      </x:c>
      <x:c r="C672" s="33" t="n">
        <x:v>24.426</x:v>
      </x:c>
      <x:c r="D672" s="33" t="n">
        <x:v>212.781</x:v>
      </x:c>
      <x:c r="E672" s="33" t="n">
        <x:v>79.73</x:v>
      </x:c>
      <x:c r="F672" s="31" t="str"/>
      <x:c r="G672" s="31" t="str">
        <x:f>IF(C672="","NO DATA",IF(C672&gt;=30,"ALERT","NORMAL"))</x:f>
        <x:v>NORMAL</x:v>
      </x:c>
      <x:c r="H672" s="31" t="str">
        <x:f>IF(C672="","MISSING",IF(C672&gt;=30,"HIGH TEMP","OK"))</x:f>
        <x:v>OK</x:v>
      </x:c>
      <x:c r="I672" s="31" t="str">
        <x:f>IF(E672="","NO DATA",IF(E672&lt;20,"LOW FLOW","OK"))</x:f>
        <x:v>OK</x:v>
      </x:c>
      <x:c r="J672" s="31" t="str">
        <x:f>IF(OR(C672="",D672="",E672=""),"MISSING",IF(OR(C672&lt;0,C672&gt;60,D672&lt;50,D672&gt;400,E672&lt;0,E672&gt;200),"REVIEW","OK"))</x:f>
        <x:v>OK</x:v>
      </x:c>
    </x:row>
    <x:row r="673">
      <x:c r="A673" s="31" t="n">
        <x:v>672</x:v>
      </x:c>
      <x:c r="B673" s="32" t="n">
        <x:v>46310.410995370374</x:v>
      </x:c>
      <x:c r="C673" s="33" t="n">
        <x:v>24.471</x:v>
      </x:c>
      <x:c r="D673" s="33" t="n">
        <x:v>210.314</x:v>
      </x:c>
      <x:c r="E673" s="33" t="n">
        <x:v>79.212</x:v>
      </x:c>
      <x:c r="F673" s="31" t="str"/>
      <x:c r="G673" s="31" t="str">
        <x:f>IF(C673="","NO DATA",IF(C673&gt;=30,"ALERT","NORMAL"))</x:f>
        <x:v>NORMAL</x:v>
      </x:c>
      <x:c r="H673" s="31" t="str">
        <x:f>IF(C673="","MISSING",IF(C673&gt;=30,"HIGH TEMP","OK"))</x:f>
        <x:v>OK</x:v>
      </x:c>
      <x:c r="I673" s="31" t="str">
        <x:f>IF(E673="","NO DATA",IF(E673&lt;20,"LOW FLOW","OK"))</x:f>
        <x:v>OK</x:v>
      </x:c>
      <x:c r="J673" s="31" t="str">
        <x:f>IF(OR(C673="",D673="",E673=""),"MISSING",IF(OR(C673&lt;0,C673&gt;60,D673&lt;50,D673&gt;400,E673&lt;0,E673&gt;200),"REVIEW","OK"))</x:f>
        <x:v>OK</x:v>
      </x:c>
    </x:row>
    <x:row r="674">
      <x:c r="A674" s="31" t="n">
        <x:v>673</x:v>
      </x:c>
      <x:c r="B674" s="32" t="n">
        <x:v>46310.41111111111</x:v>
      </x:c>
      <x:c r="C674" s="33" t="n">
        <x:v>24.456</x:v>
      </x:c>
      <x:c r="D674" s="33" t="n">
        <x:v>212.235</x:v>
      </x:c>
      <x:c r="E674" s="33" t="n">
        <x:v>79.704</x:v>
      </x:c>
      <x:c r="F674" s="31" t="str"/>
      <x:c r="G674" s="31" t="str">
        <x:f>IF(C674="","NO DATA",IF(C674&gt;=30,"ALERT","NORMAL"))</x:f>
        <x:v>NORMAL</x:v>
      </x:c>
      <x:c r="H674" s="31" t="str">
        <x:f>IF(C674="","MISSING",IF(C674&gt;=30,"HIGH TEMP","OK"))</x:f>
        <x:v>OK</x:v>
      </x:c>
      <x:c r="I674" s="31" t="str">
        <x:f>IF(E674="","NO DATA",IF(E674&lt;20,"LOW FLOW","OK"))</x:f>
        <x:v>OK</x:v>
      </x:c>
      <x:c r="J674" s="31" t="str">
        <x:f>IF(OR(C674="",D674="",E674=""),"MISSING",IF(OR(C674&lt;0,C674&gt;60,D674&lt;50,D674&gt;400,E674&lt;0,E674&gt;200),"REVIEW","OK"))</x:f>
        <x:v>OK</x:v>
      </x:c>
    </x:row>
    <x:row r="675">
      <x:c r="A675" s="31" t="n">
        <x:v>674</x:v>
      </x:c>
      <x:c r="B675" s="32" t="n">
        <x:v>46310.41122685185</x:v>
      </x:c>
      <x:c r="C675" s="33" t="n">
        <x:v>24.535</x:v>
      </x:c>
      <x:c r="D675" s="33" t="n">
        <x:v>211.666</x:v>
      </x:c>
      <x:c r="E675" s="33" t="n">
        <x:v>79.214</x:v>
      </x:c>
      <x:c r="F675" s="31" t="str"/>
      <x:c r="G675" s="31" t="str">
        <x:f>IF(C675="","NO DATA",IF(C675&gt;=30,"ALERT","NORMAL"))</x:f>
        <x:v>NORMAL</x:v>
      </x:c>
      <x:c r="H675" s="31" t="str">
        <x:f>IF(C675="","MISSING",IF(C675&gt;=30,"HIGH TEMP","OK"))</x:f>
        <x:v>OK</x:v>
      </x:c>
      <x:c r="I675" s="31" t="str">
        <x:f>IF(E675="","NO DATA",IF(E675&lt;20,"LOW FLOW","OK"))</x:f>
        <x:v>OK</x:v>
      </x:c>
      <x:c r="J675" s="31" t="str">
        <x:f>IF(OR(C675="",D675="",E675=""),"MISSING",IF(OR(C675&lt;0,C675&gt;60,D675&lt;50,D675&gt;400,E675&lt;0,E675&gt;200),"REVIEW","OK"))</x:f>
        <x:v>OK</x:v>
      </x:c>
    </x:row>
    <x:row r="676">
      <x:c r="A676" s="31" t="n">
        <x:v>675</x:v>
      </x:c>
      <x:c r="B676" s="32" t="n">
        <x:v>46310.41134259259</x:v>
      </x:c>
      <x:c r="C676" s="33" t="n">
        <x:v>24.58</x:v>
      </x:c>
      <x:c r="D676" s="33" t="n">
        <x:v>212.386</x:v>
      </x:c>
      <x:c r="E676" s="33" t="n">
        <x:v>80.231</x:v>
      </x:c>
      <x:c r="F676" s="31" t="str"/>
      <x:c r="G676" s="31" t="str">
        <x:f>IF(C676="","NO DATA",IF(C676&gt;=30,"ALERT","NORMAL"))</x:f>
        <x:v>NORMAL</x:v>
      </x:c>
      <x:c r="H676" s="31" t="str">
        <x:f>IF(C676="","MISSING",IF(C676&gt;=30,"HIGH TEMP","OK"))</x:f>
        <x:v>OK</x:v>
      </x:c>
      <x:c r="I676" s="31" t="str">
        <x:f>IF(E676="","NO DATA",IF(E676&lt;20,"LOW FLOW","OK"))</x:f>
        <x:v>OK</x:v>
      </x:c>
      <x:c r="J676" s="31" t="str">
        <x:f>IF(OR(C676="",D676="",E676=""),"MISSING",IF(OR(C676&lt;0,C676&gt;60,D676&lt;50,D676&gt;400,E676&lt;0,E676&gt;200),"REVIEW","OK"))</x:f>
        <x:v>OK</x:v>
      </x:c>
    </x:row>
    <x:row r="677">
      <x:c r="A677" s="31" t="n">
        <x:v>676</x:v>
      </x:c>
      <x:c r="B677" s="32" t="n">
        <x:v>46310.411458333336</x:v>
      </x:c>
      <x:c r="C677" s="33" t="n">
        <x:v>24.475</x:v>
      </x:c>
      <x:c r="D677" s="33" t="n">
        <x:v>209.866</x:v>
      </x:c>
      <x:c r="E677" s="33" t="n">
        <x:v>80.698</x:v>
      </x:c>
      <x:c r="F677" s="31" t="str"/>
      <x:c r="G677" s="31" t="str">
        <x:f>IF(C677="","NO DATA",IF(C677&gt;=30,"ALERT","NORMAL"))</x:f>
        <x:v>NORMAL</x:v>
      </x:c>
      <x:c r="H677" s="31" t="str">
        <x:f>IF(C677="","MISSING",IF(C677&gt;=30,"HIGH TEMP","OK"))</x:f>
        <x:v>OK</x:v>
      </x:c>
      <x:c r="I677" s="31" t="str">
        <x:f>IF(E677="","NO DATA",IF(E677&lt;20,"LOW FLOW","OK"))</x:f>
        <x:v>OK</x:v>
      </x:c>
      <x:c r="J677" s="31" t="str">
        <x:f>IF(OR(C677="",D677="",E677=""),"MISSING",IF(OR(C677&lt;0,C677&gt;60,D677&lt;50,D677&gt;400,E677&lt;0,E677&gt;200),"REVIEW","OK"))</x:f>
        <x:v>OK</x:v>
      </x:c>
    </x:row>
    <x:row r="678">
      <x:c r="A678" s="31" t="n">
        <x:v>677</x:v>
      </x:c>
      <x:c r="B678" s="32" t="n">
        <x:v>46310.411574074074</x:v>
      </x:c>
      <x:c r="C678" s="33" t="n">
        <x:v>24.373</x:v>
      </x:c>
      <x:c r="D678" s="33" t="n">
        <x:v>211.396</x:v>
      </x:c>
      <x:c r="E678" s="33" t="n">
        <x:v>80.065</x:v>
      </x:c>
      <x:c r="F678" s="31" t="str"/>
      <x:c r="G678" s="31" t="str">
        <x:f>IF(C678="","NO DATA",IF(C678&gt;=30,"ALERT","NORMAL"))</x:f>
        <x:v>NORMAL</x:v>
      </x:c>
      <x:c r="H678" s="31" t="str">
        <x:f>IF(C678="","MISSING",IF(C678&gt;=30,"HIGH TEMP","OK"))</x:f>
        <x:v>OK</x:v>
      </x:c>
      <x:c r="I678" s="31" t="str">
        <x:f>IF(E678="","NO DATA",IF(E678&lt;20,"LOW FLOW","OK"))</x:f>
        <x:v>OK</x:v>
      </x:c>
      <x:c r="J678" s="31" t="str">
        <x:f>IF(OR(C678="",D678="",E678=""),"MISSING",IF(OR(C678&lt;0,C678&gt;60,D678&lt;50,D678&gt;400,E678&lt;0,E678&gt;200),"REVIEW","OK"))</x:f>
        <x:v>OK</x:v>
      </x:c>
    </x:row>
    <x:row r="679">
      <x:c r="A679" s="31" t="n">
        <x:v>678</x:v>
      </x:c>
      <x:c r="B679" s="32" t="n">
        <x:v>46310.41168981481</x:v>
      </x:c>
      <x:c r="C679" s="33" t="n">
        <x:v>24.59</x:v>
      </x:c>
      <x:c r="D679" s="33" t="n">
        <x:v>210.734</x:v>
      </x:c>
      <x:c r="E679" s="33" t="n">
        <x:v>80.541</x:v>
      </x:c>
      <x:c r="F679" s="31" t="str"/>
      <x:c r="G679" s="31" t="str">
        <x:f>IF(C679="","NO DATA",IF(C679&gt;=30,"ALERT","NORMAL"))</x:f>
        <x:v>NORMAL</x:v>
      </x:c>
      <x:c r="H679" s="31" t="str">
        <x:f>IF(C679="","MISSING",IF(C679&gt;=30,"HIGH TEMP","OK"))</x:f>
        <x:v>OK</x:v>
      </x:c>
      <x:c r="I679" s="31" t="str">
        <x:f>IF(E679="","NO DATA",IF(E679&lt;20,"LOW FLOW","OK"))</x:f>
        <x:v>OK</x:v>
      </x:c>
      <x:c r="J679" s="31" t="str">
        <x:f>IF(OR(C679="",D679="",E679=""),"MISSING",IF(OR(C679&lt;0,C679&gt;60,D679&lt;50,D679&gt;400,E679&lt;0,E679&gt;200),"REVIEW","OK"))</x:f>
        <x:v>OK</x:v>
      </x:c>
    </x:row>
    <x:row r="680">
      <x:c r="A680" s="31" t="n">
        <x:v>679</x:v>
      </x:c>
      <x:c r="B680" s="32" t="n">
        <x:v>46310.41180555556</x:v>
      </x:c>
      <x:c r="C680" s="33" t="n">
        <x:v>24.325</x:v>
      </x:c>
      <x:c r="D680" s="33" t="n">
        <x:v>209.081</x:v>
      </x:c>
      <x:c r="E680" s="33" t="n">
        <x:v>81.144</x:v>
      </x:c>
      <x:c r="F680" s="31" t="str"/>
      <x:c r="G680" s="31" t="str">
        <x:f>IF(C680="","NO DATA",IF(C680&gt;=30,"ALERT","NORMAL"))</x:f>
        <x:v>NORMAL</x:v>
      </x:c>
      <x:c r="H680" s="31" t="str">
        <x:f>IF(C680="","MISSING",IF(C680&gt;=30,"HIGH TEMP","OK"))</x:f>
        <x:v>OK</x:v>
      </x:c>
      <x:c r="I680" s="31" t="str">
        <x:f>IF(E680="","NO DATA",IF(E680&lt;20,"LOW FLOW","OK"))</x:f>
        <x:v>OK</x:v>
      </x:c>
      <x:c r="J680" s="31" t="str">
        <x:f>IF(OR(C680="",D680="",E680=""),"MISSING",IF(OR(C680&lt;0,C680&gt;60,D680&lt;50,D680&gt;400,E680&lt;0,E680&gt;200),"REVIEW","OK"))</x:f>
        <x:v>OK</x:v>
      </x:c>
    </x:row>
    <x:row r="681">
      <x:c r="A681" s="31" t="n">
        <x:v>680</x:v>
      </x:c>
      <x:c r="B681" s="32" t="n">
        <x:v>46310.4119212963</x:v>
      </x:c>
      <x:c r="C681" s="33" t="n">
        <x:v>24.582</x:v>
      </x:c>
      <x:c r="D681" s="33" t="n">
        <x:v>210.856</x:v>
      </x:c>
      <x:c r="E681" s="33" t="n">
        <x:v>81.06</x:v>
      </x:c>
      <x:c r="F681" s="31" t="str"/>
      <x:c r="G681" s="31" t="str">
        <x:f>IF(C681="","NO DATA",IF(C681&gt;=30,"ALERT","NORMAL"))</x:f>
        <x:v>NORMAL</x:v>
      </x:c>
      <x:c r="H681" s="31" t="str">
        <x:f>IF(C681="","MISSING",IF(C681&gt;=30,"HIGH TEMP","OK"))</x:f>
        <x:v>OK</x:v>
      </x:c>
      <x:c r="I681" s="31" t="str">
        <x:f>IF(E681="","NO DATA",IF(E681&lt;20,"LOW FLOW","OK"))</x:f>
        <x:v>OK</x:v>
      </x:c>
      <x:c r="J681" s="31" t="str">
        <x:f>IF(OR(C681="",D681="",E681=""),"MISSING",IF(OR(C681&lt;0,C681&gt;60,D681&lt;50,D681&gt;400,E681&lt;0,E681&gt;200),"REVIEW","OK"))</x:f>
        <x:v>OK</x:v>
      </x:c>
    </x:row>
    <x:row r="682">
      <x:c r="A682" s="31" t="n">
        <x:v>681</x:v>
      </x:c>
      <x:c r="B682" s="32" t="n">
        <x:v>46310.41203703704</x:v>
      </x:c>
      <x:c r="C682" s="33" t="n">
        <x:v>24.413</x:v>
      </x:c>
      <x:c r="D682" s="33" t="n">
        <x:v>211.25</x:v>
      </x:c>
      <x:c r="E682" s="33" t="n">
        <x:v>79.899</x:v>
      </x:c>
      <x:c r="F682" s="31" t="str"/>
      <x:c r="G682" s="31" t="str">
        <x:f>IF(C682="","NO DATA",IF(C682&gt;=30,"ALERT","NORMAL"))</x:f>
        <x:v>NORMAL</x:v>
      </x:c>
      <x:c r="H682" s="31" t="str">
        <x:f>IF(C682="","MISSING",IF(C682&gt;=30,"HIGH TEMP","OK"))</x:f>
        <x:v>OK</x:v>
      </x:c>
      <x:c r="I682" s="31" t="str">
        <x:f>IF(E682="","NO DATA",IF(E682&lt;20,"LOW FLOW","OK"))</x:f>
        <x:v>OK</x:v>
      </x:c>
      <x:c r="J682" s="31" t="str">
        <x:f>IF(OR(C682="",D682="",E682=""),"MISSING",IF(OR(C682&lt;0,C682&gt;60,D682&lt;50,D682&gt;400,E682&lt;0,E682&gt;200),"REVIEW","OK"))</x:f>
        <x:v>OK</x:v>
      </x:c>
    </x:row>
    <x:row r="683">
      <x:c r="A683" s="31" t="n">
        <x:v>682</x:v>
      </x:c>
      <x:c r="B683" s="32" t="n">
        <x:v>46310.412152777775</x:v>
      </x:c>
      <x:c r="C683" s="33" t="n">
        <x:v>24.492</x:v>
      </x:c>
      <x:c r="D683" s="33" t="n">
        <x:v>208.621</x:v>
      </x:c>
      <x:c r="E683" s="33" t="n">
        <x:v>80.678</x:v>
      </x:c>
      <x:c r="F683" s="31" t="str"/>
      <x:c r="G683" s="31" t="str">
        <x:f>IF(C683="","NO DATA",IF(C683&gt;=30,"ALERT","NORMAL"))</x:f>
        <x:v>NORMAL</x:v>
      </x:c>
      <x:c r="H683" s="31" t="str">
        <x:f>IF(C683="","MISSING",IF(C683&gt;=30,"HIGH TEMP","OK"))</x:f>
        <x:v>OK</x:v>
      </x:c>
      <x:c r="I683" s="31" t="str">
        <x:f>IF(E683="","NO DATA",IF(E683&lt;20,"LOW FLOW","OK"))</x:f>
        <x:v>OK</x:v>
      </x:c>
      <x:c r="J683" s="31" t="str">
        <x:f>IF(OR(C683="",D683="",E683=""),"MISSING",IF(OR(C683&lt;0,C683&gt;60,D683&lt;50,D683&gt;400,E683&lt;0,E683&gt;200),"REVIEW","OK"))</x:f>
        <x:v>OK</x:v>
      </x:c>
    </x:row>
    <x:row r="684">
      <x:c r="A684" s="31" t="n">
        <x:v>683</x:v>
      </x:c>
      <x:c r="B684" s="32" t="n">
        <x:v>46310.41226851852</x:v>
      </x:c>
      <x:c r="C684" s="33" t="n">
        <x:v>24.381</x:v>
      </x:c>
      <x:c r="D684" s="33" t="n">
        <x:v>210.318</x:v>
      </x:c>
      <x:c r="E684" s="33" t="n">
        <x:v>81.188</x:v>
      </x:c>
      <x:c r="F684" s="31" t="str"/>
      <x:c r="G684" s="31" t="str">
        <x:f>IF(C684="","NO DATA",IF(C684&gt;=30,"ALERT","NORMAL"))</x:f>
        <x:v>NORMAL</x:v>
      </x:c>
      <x:c r="H684" s="31" t="str">
        <x:f>IF(C684="","MISSING",IF(C684&gt;=30,"HIGH TEMP","OK"))</x:f>
        <x:v>OK</x:v>
      </x:c>
      <x:c r="I684" s="31" t="str">
        <x:f>IF(E684="","NO DATA",IF(E684&lt;20,"LOW FLOW","OK"))</x:f>
        <x:v>OK</x:v>
      </x:c>
      <x:c r="J684" s="31" t="str">
        <x:f>IF(OR(C684="",D684="",E684=""),"MISSING",IF(OR(C684&lt;0,C684&gt;60,D684&lt;50,D684&gt;400,E684&lt;0,E684&gt;200),"REVIEW","OK"))</x:f>
        <x:v>OK</x:v>
      </x:c>
    </x:row>
    <x:row r="685">
      <x:c r="A685" s="31" t="n">
        <x:v>684</x:v>
      </x:c>
      <x:c r="B685" s="32" t="n">
        <x:v>46310.41238425926</x:v>
      </x:c>
      <x:c r="C685" s="33" t="n">
        <x:v>24.443</x:v>
      </x:c>
      <x:c r="D685" s="33" t="n">
        <x:v>209.785</x:v>
      </x:c>
      <x:c r="E685" s="33" t="n">
        <x:v>80.885</x:v>
      </x:c>
      <x:c r="F685" s="31" t="str"/>
      <x:c r="G685" s="31" t="str">
        <x:f>IF(C685="","NO DATA",IF(C685&gt;=30,"ALERT","NORMAL"))</x:f>
        <x:v>NORMAL</x:v>
      </x:c>
      <x:c r="H685" s="31" t="str">
        <x:f>IF(C685="","MISSING",IF(C685&gt;=30,"HIGH TEMP","OK"))</x:f>
        <x:v>OK</x:v>
      </x:c>
      <x:c r="I685" s="31" t="str">
        <x:f>IF(E685="","NO DATA",IF(E685&lt;20,"LOW FLOW","OK"))</x:f>
        <x:v>OK</x:v>
      </x:c>
      <x:c r="J685" s="31" t="str">
        <x:f>IF(OR(C685="",D685="",E685=""),"MISSING",IF(OR(C685&lt;0,C685&gt;60,D685&lt;50,D685&gt;400,E685&lt;0,E685&gt;200),"REVIEW","OK"))</x:f>
        <x:v>OK</x:v>
      </x:c>
    </x:row>
    <x:row r="686">
      <x:c r="A686" s="31" t="n">
        <x:v>685</x:v>
      </x:c>
      <x:c r="B686" s="32" t="n">
        <x:v>46310.4125</x:v>
      </x:c>
      <x:c r="C686" s="33" t="n">
        <x:v>24.248</x:v>
      </x:c>
      <x:c r="D686" s="33" t="n">
        <x:v>209.862</x:v>
      </x:c>
      <x:c r="E686" s="33" t="n">
        <x:v>79.87</x:v>
      </x:c>
      <x:c r="F686" s="31" t="str"/>
      <x:c r="G686" s="31" t="str">
        <x:f>IF(C686="","NO DATA",IF(C686&gt;=30,"ALERT","NORMAL"))</x:f>
        <x:v>NORMAL</x:v>
      </x:c>
      <x:c r="H686" s="31" t="str">
        <x:f>IF(C686="","MISSING",IF(C686&gt;=30,"HIGH TEMP","OK"))</x:f>
        <x:v>OK</x:v>
      </x:c>
      <x:c r="I686" s="31" t="str">
        <x:f>IF(E686="","NO DATA",IF(E686&lt;20,"LOW FLOW","OK"))</x:f>
        <x:v>OK</x:v>
      </x:c>
      <x:c r="J686" s="31" t="str">
        <x:f>IF(OR(C686="",D686="",E686=""),"MISSING",IF(OR(C686&lt;0,C686&gt;60,D686&lt;50,D686&gt;400,E686&lt;0,E686&gt;200),"REVIEW","OK"))</x:f>
        <x:v>OK</x:v>
      </x:c>
    </x:row>
    <x:row r="687">
      <x:c r="A687" s="31" t="n">
        <x:v>686</x:v>
      </x:c>
      <x:c r="B687" s="32" t="n">
        <x:v>46310.41261574074</x:v>
      </x:c>
      <x:c r="C687" s="33" t="n">
        <x:v>24.392</x:v>
      </x:c>
      <x:c r="D687" s="33" t="n">
        <x:v>208.903</x:v>
      </x:c>
      <x:c r="E687" s="33" t="n">
        <x:v>82.318</x:v>
      </x:c>
      <x:c r="F687" s="31" t="str"/>
      <x:c r="G687" s="31" t="str">
        <x:f>IF(C687="","NO DATA",IF(C687&gt;=30,"ALERT","NORMAL"))</x:f>
        <x:v>NORMAL</x:v>
      </x:c>
      <x:c r="H687" s="31" t="str">
        <x:f>IF(C687="","MISSING",IF(C687&gt;=30,"HIGH TEMP","OK"))</x:f>
        <x:v>OK</x:v>
      </x:c>
      <x:c r="I687" s="31" t="str">
        <x:f>IF(E687="","NO DATA",IF(E687&lt;20,"LOW FLOW","OK"))</x:f>
        <x:v>OK</x:v>
      </x:c>
      <x:c r="J687" s="31" t="str">
        <x:f>IF(OR(C687="",D687="",E687=""),"MISSING",IF(OR(C687&lt;0,C687&gt;60,D687&lt;50,D687&gt;400,E687&lt;0,E687&gt;200),"REVIEW","OK"))</x:f>
        <x:v>OK</x:v>
      </x:c>
    </x:row>
    <x:row r="688">
      <x:c r="A688" s="31" t="n">
        <x:v>687</x:v>
      </x:c>
      <x:c r="B688" s="32" t="n">
        <x:v>46310.41273148148</x:v>
      </x:c>
      <x:c r="C688" s="33" t="n">
        <x:v>24.226</x:v>
      </x:c>
      <x:c r="D688" s="33" t="n">
        <x:v>210.39</x:v>
      </x:c>
      <x:c r="E688" s="33" t="n">
        <x:v>81.722</x:v>
      </x:c>
      <x:c r="F688" s="31" t="str"/>
      <x:c r="G688" s="31" t="str">
        <x:f>IF(C688="","NO DATA",IF(C688&gt;=30,"ALERT","NORMAL"))</x:f>
        <x:v>NORMAL</x:v>
      </x:c>
      <x:c r="H688" s="31" t="str">
        <x:f>IF(C688="","MISSING",IF(C688&gt;=30,"HIGH TEMP","OK"))</x:f>
        <x:v>OK</x:v>
      </x:c>
      <x:c r="I688" s="31" t="str">
        <x:f>IF(E688="","NO DATA",IF(E688&lt;20,"LOW FLOW","OK"))</x:f>
        <x:v>OK</x:v>
      </x:c>
      <x:c r="J688" s="31" t="str">
        <x:f>IF(OR(C688="",D688="",E688=""),"MISSING",IF(OR(C688&lt;0,C688&gt;60,D688&lt;50,D688&gt;400,E688&lt;0,E688&gt;200),"REVIEW","OK"))</x:f>
        <x:v>OK</x:v>
      </x:c>
    </x:row>
    <x:row r="689">
      <x:c r="A689" s="31" t="n">
        <x:v>688</x:v>
      </x:c>
      <x:c r="B689" s="32" t="n">
        <x:v>46310.41284722222</x:v>
      </x:c>
      <x:c r="C689" s="33" t="n">
        <x:v>24.449</x:v>
      </x:c>
      <x:c r="D689" s="33" t="n">
        <x:v>210.552</x:v>
      </x:c>
      <x:c r="E689" s="33" t="n">
        <x:v>80.494</x:v>
      </x:c>
      <x:c r="F689" s="31" t="str"/>
      <x:c r="G689" s="31" t="str">
        <x:f>IF(C689="","NO DATA",IF(C689&gt;=30,"ALERT","NORMAL"))</x:f>
        <x:v>NORMAL</x:v>
      </x:c>
      <x:c r="H689" s="31" t="str">
        <x:f>IF(C689="","MISSING",IF(C689&gt;=30,"HIGH TEMP","OK"))</x:f>
        <x:v>OK</x:v>
      </x:c>
      <x:c r="I689" s="31" t="str">
        <x:f>IF(E689="","NO DATA",IF(E689&lt;20,"LOW FLOW","OK"))</x:f>
        <x:v>OK</x:v>
      </x:c>
      <x:c r="J689" s="31" t="str">
        <x:f>IF(OR(C689="",D689="",E689=""),"MISSING",IF(OR(C689&lt;0,C689&gt;60,D689&lt;50,D689&gt;400,E689&lt;0,E689&gt;200),"REVIEW","OK"))</x:f>
        <x:v>OK</x:v>
      </x:c>
    </x:row>
    <x:row r="690">
      <x:c r="A690" s="31" t="n">
        <x:v>689</x:v>
      </x:c>
      <x:c r="B690" s="32" t="n">
        <x:v>46310.41296296296</x:v>
      </x:c>
      <x:c r="C690" s="33" t="n">
        <x:v>24.221</x:v>
      </x:c>
      <x:c r="D690" s="33" t="n">
        <x:v>208.143</x:v>
      </x:c>
      <x:c r="E690" s="33" t="n">
        <x:v>80.833</x:v>
      </x:c>
      <x:c r="F690" s="31" t="str"/>
      <x:c r="G690" s="31" t="str">
        <x:f>IF(C690="","NO DATA",IF(C690&gt;=30,"ALERT","NORMAL"))</x:f>
        <x:v>NORMAL</x:v>
      </x:c>
      <x:c r="H690" s="31" t="str">
        <x:f>IF(C690="","MISSING",IF(C690&gt;=30,"HIGH TEMP","OK"))</x:f>
        <x:v>OK</x:v>
      </x:c>
      <x:c r="I690" s="31" t="str">
        <x:f>IF(E690="","NO DATA",IF(E690&lt;20,"LOW FLOW","OK"))</x:f>
        <x:v>OK</x:v>
      </x:c>
      <x:c r="J690" s="31" t="str">
        <x:f>IF(OR(C690="",D690="",E690=""),"MISSING",IF(OR(C690&lt;0,C690&gt;60,D690&lt;50,D690&gt;400,E690&lt;0,E690&gt;200),"REVIEW","OK"))</x:f>
        <x:v>OK</x:v>
      </x:c>
    </x:row>
    <x:row r="691">
      <x:c r="A691" s="31" t="n">
        <x:v>690</x:v>
      </x:c>
      <x:c r="B691" s="32" t="n">
        <x:v>46310.41307870371</x:v>
      </x:c>
      <x:c r="C691" s="33" t="n">
        <x:v>24.335</x:v>
      </x:c>
      <x:c r="D691" s="33" t="n">
        <x:v>210.016</x:v>
      </x:c>
      <x:c r="E691" s="33" t="n">
        <x:v>81.149</x:v>
      </x:c>
      <x:c r="F691" s="31" t="str"/>
      <x:c r="G691" s="31" t="str">
        <x:f>IF(C691="","NO DATA",IF(C691&gt;=30,"ALERT","NORMAL"))</x:f>
        <x:v>NORMAL</x:v>
      </x:c>
      <x:c r="H691" s="31" t="str">
        <x:f>IF(C691="","MISSING",IF(C691&gt;=30,"HIGH TEMP","OK"))</x:f>
        <x:v>OK</x:v>
      </x:c>
      <x:c r="I691" s="31" t="str">
        <x:f>IF(E691="","NO DATA",IF(E691&lt;20,"LOW FLOW","OK"))</x:f>
        <x:v>OK</x:v>
      </x:c>
      <x:c r="J691" s="31" t="str">
        <x:f>IF(OR(C691="",D691="",E691=""),"MISSING",IF(OR(C691&lt;0,C691&gt;60,D691&lt;50,D691&gt;400,E691&lt;0,E691&gt;200),"REVIEW","OK"))</x:f>
        <x:v>OK</x:v>
      </x:c>
    </x:row>
    <x:row r="692">
      <x:c r="A692" s="31" t="n">
        <x:v>691</x:v>
      </x:c>
      <x:c r="B692" s="32" t="n">
        <x:v>46310.413194444445</x:v>
      </x:c>
      <x:c r="C692" s="33" t="n">
        <x:v>24.281</x:v>
      </x:c>
      <x:c r="D692" s="33" t="n">
        <x:v>208.564</x:v>
      </x:c>
      <x:c r="E692" s="33" t="n">
        <x:v>81.618</x:v>
      </x:c>
      <x:c r="F692" s="31" t="str"/>
      <x:c r="G692" s="31" t="str">
        <x:f>IF(C692="","NO DATA",IF(C692&gt;=30,"ALERT","NORMAL"))</x:f>
        <x:v>NORMAL</x:v>
      </x:c>
      <x:c r="H692" s="31" t="str">
        <x:f>IF(C692="","MISSING",IF(C692&gt;=30,"HIGH TEMP","OK"))</x:f>
        <x:v>OK</x:v>
      </x:c>
      <x:c r="I692" s="31" t="str">
        <x:f>IF(E692="","NO DATA",IF(E692&lt;20,"LOW FLOW","OK"))</x:f>
        <x:v>OK</x:v>
      </x:c>
      <x:c r="J692" s="31" t="str">
        <x:f>IF(OR(C692="",D692="",E692=""),"MISSING",IF(OR(C692&lt;0,C692&gt;60,D692&lt;50,D692&gt;400,E692&lt;0,E692&gt;200),"REVIEW","OK"))</x:f>
        <x:v>OK</x:v>
      </x:c>
    </x:row>
    <x:row r="693">
      <x:c r="A693" s="31" t="n">
        <x:v>692</x:v>
      </x:c>
      <x:c r="B693" s="32" t="n">
        <x:v>46310.413310185184</x:v>
      </x:c>
      <x:c r="C693" s="33" t="n">
        <x:v>24.316</x:v>
      </x:c>
      <x:c r="D693" s="33" t="n">
        <x:v>210.292</x:v>
      </x:c>
      <x:c r="E693" s="33" t="n">
        <x:v>81.322</x:v>
      </x:c>
      <x:c r="F693" s="31" t="str"/>
      <x:c r="G693" s="31" t="str">
        <x:f>IF(C693="","NO DATA",IF(C693&gt;=30,"ALERT","NORMAL"))</x:f>
        <x:v>NORMAL</x:v>
      </x:c>
      <x:c r="H693" s="31" t="str">
        <x:f>IF(C693="","MISSING",IF(C693&gt;=30,"HIGH TEMP","OK"))</x:f>
        <x:v>OK</x:v>
      </x:c>
      <x:c r="I693" s="31" t="str">
        <x:f>IF(E693="","NO DATA",IF(E693&lt;20,"LOW FLOW","OK"))</x:f>
        <x:v>OK</x:v>
      </x:c>
      <x:c r="J693" s="31" t="str">
        <x:f>IF(OR(C693="",D693="",E693=""),"MISSING",IF(OR(C693&lt;0,C693&gt;60,D693&lt;50,D693&gt;400,E693&lt;0,E693&gt;200),"REVIEW","OK"))</x:f>
        <x:v>OK</x:v>
      </x:c>
    </x:row>
    <x:row r="694">
      <x:c r="A694" s="31" t="n">
        <x:v>693</x:v>
      </x:c>
      <x:c r="B694" s="32" t="n">
        <x:v>46310.41342592592</x:v>
      </x:c>
      <x:c r="C694" s="33" t="n">
        <x:v>24.335</x:v>
      </x:c>
      <x:c r="D694" s="33" t="n">
        <x:v>209.742</x:v>
      </x:c>
      <x:c r="E694" s="33" t="n">
        <x:v>82.485</x:v>
      </x:c>
      <x:c r="F694" s="31" t="str"/>
      <x:c r="G694" s="31" t="str">
        <x:f>IF(C694="","NO DATA",IF(C694&gt;=30,"ALERT","NORMAL"))</x:f>
        <x:v>NORMAL</x:v>
      </x:c>
      <x:c r="H694" s="31" t="str">
        <x:f>IF(C694="","MISSING",IF(C694&gt;=30,"HIGH TEMP","OK"))</x:f>
        <x:v>OK</x:v>
      </x:c>
      <x:c r="I694" s="31" t="str">
        <x:f>IF(E694="","NO DATA",IF(E694&lt;20,"LOW FLOW","OK"))</x:f>
        <x:v>OK</x:v>
      </x:c>
      <x:c r="J694" s="31" t="str">
        <x:f>IF(OR(C694="",D694="",E694=""),"MISSING",IF(OR(C694&lt;0,C694&gt;60,D694&lt;50,D694&gt;400,E694&lt;0,E694&gt;200),"REVIEW","OK"))</x:f>
        <x:v>OK</x:v>
      </x:c>
    </x:row>
    <x:row r="695">
      <x:c r="A695" s="31" t="n">
        <x:v>694</x:v>
      </x:c>
      <x:c r="B695" s="32" t="n">
        <x:v>46310.41354166667</x:v>
      </x:c>
      <x:c r="C695" s="33" t="n">
        <x:v>24.371</x:v>
      </x:c>
      <x:c r="D695" s="33" t="n">
        <x:v>209.356</x:v>
      </x:c>
      <x:c r="E695" s="33" t="n">
        <x:v>81.276</x:v>
      </x:c>
      <x:c r="F695" s="31" t="str"/>
      <x:c r="G695" s="31" t="str">
        <x:f>IF(C695="","NO DATA",IF(C695&gt;=30,"ALERT","NORMAL"))</x:f>
        <x:v>NORMAL</x:v>
      </x:c>
      <x:c r="H695" s="31" t="str">
        <x:f>IF(C695="","MISSING",IF(C695&gt;=30,"HIGH TEMP","OK"))</x:f>
        <x:v>OK</x:v>
      </x:c>
      <x:c r="I695" s="31" t="str">
        <x:f>IF(E695="","NO DATA",IF(E695&lt;20,"LOW FLOW","OK"))</x:f>
        <x:v>OK</x:v>
      </x:c>
      <x:c r="J695" s="31" t="str">
        <x:f>IF(OR(C695="",D695="",E695=""),"MISSING",IF(OR(C695&lt;0,C695&gt;60,D695&lt;50,D695&gt;400,E695&lt;0,E695&gt;200),"REVIEW","OK"))</x:f>
        <x:v>OK</x:v>
      </x:c>
    </x:row>
    <x:row r="696">
      <x:c r="A696" s="31" t="n">
        <x:v>695</x:v>
      </x:c>
      <x:c r="B696" s="32" t="n">
        <x:v>46310.41365740741</x:v>
      </x:c>
      <x:c r="C696" s="33" t="n">
        <x:v>24.21</x:v>
      </x:c>
      <x:c r="D696" s="33" t="n">
        <x:v>208.615</x:v>
      </x:c>
      <x:c r="E696" s="33" t="n">
        <x:v>81.322</x:v>
      </x:c>
      <x:c r="F696" s="31" t="str"/>
      <x:c r="G696" s="31" t="str">
        <x:f>IF(C696="","NO DATA",IF(C696&gt;=30,"ALERT","NORMAL"))</x:f>
        <x:v>NORMAL</x:v>
      </x:c>
      <x:c r="H696" s="31" t="str">
        <x:f>IF(C696="","MISSING",IF(C696&gt;=30,"HIGH TEMP","OK"))</x:f>
        <x:v>OK</x:v>
      </x:c>
      <x:c r="I696" s="31" t="str">
        <x:f>IF(E696="","NO DATA",IF(E696&lt;20,"LOW FLOW","OK"))</x:f>
        <x:v>OK</x:v>
      </x:c>
      <x:c r="J696" s="31" t="str">
        <x:f>IF(OR(C696="",D696="",E696=""),"MISSING",IF(OR(C696&lt;0,C696&gt;60,D696&lt;50,D696&gt;400,E696&lt;0,E696&gt;200),"REVIEW","OK"))</x:f>
        <x:v>OK</x:v>
      </x:c>
    </x:row>
    <x:row r="697">
      <x:c r="A697" s="31" t="n">
        <x:v>696</x:v>
      </x:c>
      <x:c r="B697" s="32" t="n">
        <x:v>46310.413773148146</x:v>
      </x:c>
      <x:c r="C697" s="33" t="n">
        <x:v>24.081</x:v>
      </x:c>
      <x:c r="D697" s="33" t="n">
        <x:v>207.353</x:v>
      </x:c>
      <x:c r="E697" s="33" t="n">
        <x:v>82.522</x:v>
      </x:c>
      <x:c r="F697" s="31" t="str"/>
      <x:c r="G697" s="31" t="str">
        <x:f>IF(C697="","NO DATA",IF(C697&gt;=30,"ALERT","NORMAL"))</x:f>
        <x:v>NORMAL</x:v>
      </x:c>
      <x:c r="H697" s="31" t="str">
        <x:f>IF(C697="","MISSING",IF(C697&gt;=30,"HIGH TEMP","OK"))</x:f>
        <x:v>OK</x:v>
      </x:c>
      <x:c r="I697" s="31" t="str">
        <x:f>IF(E697="","NO DATA",IF(E697&lt;20,"LOW FLOW","OK"))</x:f>
        <x:v>OK</x:v>
      </x:c>
      <x:c r="J697" s="31" t="str">
        <x:f>IF(OR(C697="",D697="",E697=""),"MISSING",IF(OR(C697&lt;0,C697&gt;60,D697&lt;50,D697&gt;400,E697&lt;0,E697&gt;200),"REVIEW","OK"))</x:f>
        <x:v>OK</x:v>
      </x:c>
    </x:row>
    <x:row r="698">
      <x:c r="A698" s="31" t="n">
        <x:v>697</x:v>
      </x:c>
      <x:c r="B698" s="32" t="n">
        <x:v>46310.41388888889</x:v>
      </x:c>
      <x:c r="C698" s="33" t="n">
        <x:v>24.191</x:v>
      </x:c>
      <x:c r="D698" s="33" t="n">
        <x:v>209.076</x:v>
      </x:c>
      <x:c r="E698" s="33" t="n">
        <x:v>82.814</x:v>
      </x:c>
      <x:c r="F698" s="31" t="str"/>
      <x:c r="G698" s="31" t="str">
        <x:f>IF(C698="","NO DATA",IF(C698&gt;=30,"ALERT","NORMAL"))</x:f>
        <x:v>NORMAL</x:v>
      </x:c>
      <x:c r="H698" s="31" t="str">
        <x:f>IF(C698="","MISSING",IF(C698&gt;=30,"HIGH TEMP","OK"))</x:f>
        <x:v>OK</x:v>
      </x:c>
      <x:c r="I698" s="31" t="str">
        <x:f>IF(E698="","NO DATA",IF(E698&lt;20,"LOW FLOW","OK"))</x:f>
        <x:v>OK</x:v>
      </x:c>
      <x:c r="J698" s="31" t="str">
        <x:f>IF(OR(C698="",D698="",E698=""),"MISSING",IF(OR(C698&lt;0,C698&gt;60,D698&lt;50,D698&gt;400,E698&lt;0,E698&gt;200),"REVIEW","OK"))</x:f>
        <x:v>OK</x:v>
      </x:c>
    </x:row>
    <x:row r="699">
      <x:c r="A699" s="31" t="n">
        <x:v>698</x:v>
      </x:c>
      <x:c r="B699" s="32" t="n">
        <x:v>46310.41400462963</x:v>
      </x:c>
      <x:c r="C699" s="33" t="n">
        <x:v>24.299</x:v>
      </x:c>
      <x:c r="D699" s="33" t="n">
        <x:v>206.894</x:v>
      </x:c>
      <x:c r="E699" s="33" t="n">
        <x:v>82.856</x:v>
      </x:c>
      <x:c r="F699" s="31" t="str"/>
      <x:c r="G699" s="31" t="str">
        <x:f>IF(C699="","NO DATA",IF(C699&gt;=30,"ALERT","NORMAL"))</x:f>
        <x:v>NORMAL</x:v>
      </x:c>
      <x:c r="H699" s="31" t="str">
        <x:f>IF(C699="","MISSING",IF(C699&gt;=30,"HIGH TEMP","OK"))</x:f>
        <x:v>OK</x:v>
      </x:c>
      <x:c r="I699" s="31" t="str">
        <x:f>IF(E699="","NO DATA",IF(E699&lt;20,"LOW FLOW","OK"))</x:f>
        <x:v>OK</x:v>
      </x:c>
      <x:c r="J699" s="31" t="str">
        <x:f>IF(OR(C699="",D699="",E699=""),"MISSING",IF(OR(C699&lt;0,C699&gt;60,D699&lt;50,D699&gt;400,E699&lt;0,E699&gt;200),"REVIEW","OK"))</x:f>
        <x:v>OK</x:v>
      </x:c>
    </x:row>
    <x:row r="700">
      <x:c r="A700" s="31" t="n">
        <x:v>699</x:v>
      </x:c>
      <x:c r="B700" s="32" t="n">
        <x:v>46310.41412037037</x:v>
      </x:c>
      <x:c r="C700" s="33" t="n">
        <x:v>24.036</x:v>
      </x:c>
      <x:c r="D700" s="33" t="n">
        <x:v>207.129</x:v>
      </x:c>
      <x:c r="E700" s="33" t="n">
        <x:v>83.803</x:v>
      </x:c>
      <x:c r="F700" s="31" t="str"/>
      <x:c r="G700" s="31" t="str">
        <x:f>IF(C700="","NO DATA",IF(C700&gt;=30,"ALERT","NORMAL"))</x:f>
        <x:v>NORMAL</x:v>
      </x:c>
      <x:c r="H700" s="31" t="str">
        <x:f>IF(C700="","MISSING",IF(C700&gt;=30,"HIGH TEMP","OK"))</x:f>
        <x:v>OK</x:v>
      </x:c>
      <x:c r="I700" s="31" t="str">
        <x:f>IF(E700="","NO DATA",IF(E700&lt;20,"LOW FLOW","OK"))</x:f>
        <x:v>OK</x:v>
      </x:c>
      <x:c r="J700" s="31" t="str">
        <x:f>IF(OR(C700="",D700="",E700=""),"MISSING",IF(OR(C700&lt;0,C700&gt;60,D700&lt;50,D700&gt;400,E700&lt;0,E700&gt;200),"REVIEW","OK"))</x:f>
        <x:v>OK</x:v>
      </x:c>
    </x:row>
    <x:row r="701">
      <x:c r="A701" s="31" t="n">
        <x:v>700</x:v>
      </x:c>
      <x:c r="B701" s="32" t="n">
        <x:v>46310.41423611111</x:v>
      </x:c>
      <x:c r="C701" s="33" t="n">
        <x:v>24.271</x:v>
      </x:c>
      <x:c r="D701" s="33" t="n">
        <x:v>207.811</x:v>
      </x:c>
      <x:c r="E701" s="33" t="n">
        <x:v>81.96</x:v>
      </x:c>
      <x:c r="F701" s="31" t="str"/>
      <x:c r="G701" s="31" t="str">
        <x:f>IF(C701="","NO DATA",IF(C701&gt;=30,"ALERT","NORMAL"))</x:f>
        <x:v>NORMAL</x:v>
      </x:c>
      <x:c r="H701" s="31" t="str">
        <x:f>IF(C701="","MISSING",IF(C701&gt;=30,"HIGH TEMP","OK"))</x:f>
        <x:v>OK</x:v>
      </x:c>
      <x:c r="I701" s="31" t="str">
        <x:f>IF(E701="","NO DATA",IF(E701&lt;20,"LOW FLOW","OK"))</x:f>
        <x:v>OK</x:v>
      </x:c>
      <x:c r="J701" s="31" t="str">
        <x:f>IF(OR(C701="",D701="",E701=""),"MISSING",IF(OR(C701&lt;0,C701&gt;60,D701&lt;50,D701&gt;400,E701&lt;0,E701&gt;200),"REVIEW","OK"))</x:f>
        <x:v>OK</x:v>
      </x:c>
    </x:row>
    <x:row r="702">
      <x:c r="A702" s="31" t="n">
        <x:v>701</x:v>
      </x:c>
      <x:c r="B702" s="32" t="n">
        <x:v>46310.414351851854</x:v>
      </x:c>
      <x:c r="C702" s="33" t="n">
        <x:v>24.008</x:v>
      </x:c>
      <x:c r="D702" s="33" t="n">
        <x:v>209.053</x:v>
      </x:c>
      <x:c r="E702" s="33" t="n">
        <x:v>84.133</x:v>
      </x:c>
      <x:c r="F702" s="31" t="str"/>
      <x:c r="G702" s="31" t="str">
        <x:f>IF(C702="","NO DATA",IF(C702&gt;=30,"ALERT","NORMAL"))</x:f>
        <x:v>NORMAL</x:v>
      </x:c>
      <x:c r="H702" s="31" t="str">
        <x:f>IF(C702="","MISSING",IF(C702&gt;=30,"HIGH TEMP","OK"))</x:f>
        <x:v>OK</x:v>
      </x:c>
      <x:c r="I702" s="31" t="str">
        <x:f>IF(E702="","NO DATA",IF(E702&lt;20,"LOW FLOW","OK"))</x:f>
        <x:v>OK</x:v>
      </x:c>
      <x:c r="J702" s="31" t="str">
        <x:f>IF(OR(C702="",D702="",E702=""),"MISSING",IF(OR(C702&lt;0,C702&gt;60,D702&lt;50,D702&gt;400,E702&lt;0,E702&gt;200),"REVIEW","OK"))</x:f>
        <x:v>OK</x:v>
      </x:c>
    </x:row>
    <x:row r="703">
      <x:c r="A703" s="31" t="n">
        <x:v>702</x:v>
      </x:c>
      <x:c r="B703" s="32" t="n">
        <x:v>46310.41446759259</x:v>
      </x:c>
      <x:c r="C703" s="33" t="n">
        <x:v>24.135</x:v>
      </x:c>
      <x:c r="D703" s="33" t="n">
        <x:v>206.269</x:v>
      </x:c>
      <x:c r="E703" s="33" t="n">
        <x:v>84.328</x:v>
      </x:c>
      <x:c r="F703" s="31" t="str"/>
      <x:c r="G703" s="31" t="str">
        <x:f>IF(C703="","NO DATA",IF(C703&gt;=30,"ALERT","NORMAL"))</x:f>
        <x:v>NORMAL</x:v>
      </x:c>
      <x:c r="H703" s="31" t="str">
        <x:f>IF(C703="","MISSING",IF(C703&gt;=30,"HIGH TEMP","OK"))</x:f>
        <x:v>OK</x:v>
      </x:c>
      <x:c r="I703" s="31" t="str">
        <x:f>IF(E703="","NO DATA",IF(E703&lt;20,"LOW FLOW","OK"))</x:f>
        <x:v>OK</x:v>
      </x:c>
      <x:c r="J703" s="31" t="str">
        <x:f>IF(OR(C703="",D703="",E703=""),"MISSING",IF(OR(C703&lt;0,C703&gt;60,D703&lt;50,D703&gt;400,E703&lt;0,E703&gt;200),"REVIEW","OK"))</x:f>
        <x:v>OK</x:v>
      </x:c>
    </x:row>
    <x:row r="704">
      <x:c r="A704" s="31" t="n">
        <x:v>703</x:v>
      </x:c>
      <x:c r="B704" s="32" t="n">
        <x:v>46310.41458333333</x:v>
      </x:c>
      <x:c r="C704" s="33" t="n">
        <x:v>24.041</x:v>
      </x:c>
      <x:c r="D704" s="33" t="n">
        <x:v>208.951</x:v>
      </x:c>
      <x:c r="E704" s="33" t="n">
        <x:v>83.629</x:v>
      </x:c>
      <x:c r="F704" s="31" t="str"/>
      <x:c r="G704" s="31" t="str">
        <x:f>IF(C704="","NO DATA",IF(C704&gt;=30,"ALERT","NORMAL"))</x:f>
        <x:v>NORMAL</x:v>
      </x:c>
      <x:c r="H704" s="31" t="str">
        <x:f>IF(C704="","MISSING",IF(C704&gt;=30,"HIGH TEMP","OK"))</x:f>
        <x:v>OK</x:v>
      </x:c>
      <x:c r="I704" s="31" t="str">
        <x:f>IF(E704="","NO DATA",IF(E704&lt;20,"LOW FLOW","OK"))</x:f>
        <x:v>OK</x:v>
      </x:c>
      <x:c r="J704" s="31" t="str">
        <x:f>IF(OR(C704="",D704="",E704=""),"MISSING",IF(OR(C704&lt;0,C704&gt;60,D704&lt;50,D704&gt;400,E704&lt;0,E704&gt;200),"REVIEW","OK"))</x:f>
        <x:v>OK</x:v>
      </x:c>
    </x:row>
    <x:row r="705">
      <x:c r="A705" s="31" t="n">
        <x:v>704</x:v>
      </x:c>
      <x:c r="B705" s="32" t="n">
        <x:v>46310.41469907408</x:v>
      </x:c>
      <x:c r="C705" s="33" t="n">
        <x:v>24.153</x:v>
      </x:c>
      <x:c r="D705" s="33" t="n">
        <x:v>208.104</x:v>
      </x:c>
      <x:c r="E705" s="33" t="n">
        <x:v>83.295</x:v>
      </x:c>
      <x:c r="F705" s="31" t="str"/>
      <x:c r="G705" s="31" t="str">
        <x:f>IF(C705="","NO DATA",IF(C705&gt;=30,"ALERT","NORMAL"))</x:f>
        <x:v>NORMAL</x:v>
      </x:c>
      <x:c r="H705" s="31" t="str">
        <x:f>IF(C705="","MISSING",IF(C705&gt;=30,"HIGH TEMP","OK"))</x:f>
        <x:v>OK</x:v>
      </x:c>
      <x:c r="I705" s="31" t="str">
        <x:f>IF(E705="","NO DATA",IF(E705&lt;20,"LOW FLOW","OK"))</x:f>
        <x:v>OK</x:v>
      </x:c>
      <x:c r="J705" s="31" t="str">
        <x:f>IF(OR(C705="",D705="",E705=""),"MISSING",IF(OR(C705&lt;0,C705&gt;60,D705&lt;50,D705&gt;400,E705&lt;0,E705&gt;200),"REVIEW","OK"))</x:f>
        <x:v>OK</x:v>
      </x:c>
    </x:row>
    <x:row r="706">
      <x:c r="A706" s="31" t="n">
        <x:v>705</x:v>
      </x:c>
      <x:c r="B706" s="32" t="n">
        <x:v>46310.414814814816</x:v>
      </x:c>
      <x:c r="C706" s="33" t="n">
        <x:v>23.93</x:v>
      </x:c>
      <x:c r="D706" s="33" t="n">
        <x:v>206.354</x:v>
      </x:c>
      <x:c r="E706" s="33" t="n">
        <x:v>83.031</x:v>
      </x:c>
      <x:c r="F706" s="31" t="str"/>
      <x:c r="G706" s="31" t="str">
        <x:f>IF(C706="","NO DATA",IF(C706&gt;=30,"ALERT","NORMAL"))</x:f>
        <x:v>NORMAL</x:v>
      </x:c>
      <x:c r="H706" s="31" t="str">
        <x:f>IF(C706="","MISSING",IF(C706&gt;=30,"HIGH TEMP","OK"))</x:f>
        <x:v>OK</x:v>
      </x:c>
      <x:c r="I706" s="31" t="str">
        <x:f>IF(E706="","NO DATA",IF(E706&lt;20,"LOW FLOW","OK"))</x:f>
        <x:v>OK</x:v>
      </x:c>
      <x:c r="J706" s="31" t="str">
        <x:f>IF(OR(C706="",D706="",E706=""),"MISSING",IF(OR(C706&lt;0,C706&gt;60,D706&lt;50,D706&gt;400,E706&lt;0,E706&gt;200),"REVIEW","OK"))</x:f>
        <x:v>OK</x:v>
      </x:c>
    </x:row>
    <x:row r="707">
      <x:c r="A707" s="31" t="n">
        <x:v>706</x:v>
      </x:c>
      <x:c r="B707" s="32" t="n">
        <x:v>46310.414930555555</x:v>
      </x:c>
      <x:c r="C707" s="33" t="n">
        <x:v>24.138</x:v>
      </x:c>
      <x:c r="D707" s="33" t="n">
        <x:v>206.939</x:v>
      </x:c>
      <x:c r="E707" s="33" t="n">
        <x:v>84.718</x:v>
      </x:c>
      <x:c r="F707" s="31" t="str"/>
      <x:c r="G707" s="31" t="str">
        <x:f>IF(C707="","NO DATA",IF(C707&gt;=30,"ALERT","NORMAL"))</x:f>
        <x:v>NORMAL</x:v>
      </x:c>
      <x:c r="H707" s="31" t="str">
        <x:f>IF(C707="","MISSING",IF(C707&gt;=30,"HIGH TEMP","OK"))</x:f>
        <x:v>OK</x:v>
      </x:c>
      <x:c r="I707" s="31" t="str">
        <x:f>IF(E707="","NO DATA",IF(E707&lt;20,"LOW FLOW","OK"))</x:f>
        <x:v>OK</x:v>
      </x:c>
      <x:c r="J707" s="31" t="str">
        <x:f>IF(OR(C707="",D707="",E707=""),"MISSING",IF(OR(C707&lt;0,C707&gt;60,D707&lt;50,D707&gt;400,E707&lt;0,E707&gt;200),"REVIEW","OK"))</x:f>
        <x:v>OK</x:v>
      </x:c>
    </x:row>
    <x:row r="708">
      <x:c r="A708" s="31" t="n">
        <x:v>707</x:v>
      </x:c>
      <x:c r="B708" s="32" t="n">
        <x:v>46310.41504629629</x:v>
      </x:c>
      <x:c r="C708" s="33" t="n">
        <x:v>23.967</x:v>
      </x:c>
      <x:c r="D708" s="33" t="n">
        <x:v>207.945</x:v>
      </x:c>
      <x:c r="E708" s="33" t="n">
        <x:v>83.011</x:v>
      </x:c>
      <x:c r="F708" s="31" t="str"/>
      <x:c r="G708" s="31" t="str">
        <x:f>IF(C708="","NO DATA",IF(C708&gt;=30,"ALERT","NORMAL"))</x:f>
        <x:v>NORMAL</x:v>
      </x:c>
      <x:c r="H708" s="31" t="str">
        <x:f>IF(C708="","MISSING",IF(C708&gt;=30,"HIGH TEMP","OK"))</x:f>
        <x:v>OK</x:v>
      </x:c>
      <x:c r="I708" s="31" t="str">
        <x:f>IF(E708="","NO DATA",IF(E708&lt;20,"LOW FLOW","OK"))</x:f>
        <x:v>OK</x:v>
      </x:c>
      <x:c r="J708" s="31" t="str">
        <x:f>IF(OR(C708="",D708="",E708=""),"MISSING",IF(OR(C708&lt;0,C708&gt;60,D708&lt;50,D708&gt;400,E708&lt;0,E708&gt;200),"REVIEW","OK"))</x:f>
        <x:v>OK</x:v>
      </x:c>
    </x:row>
    <x:row r="709">
      <x:c r="A709" s="31" t="n">
        <x:v>708</x:v>
      </x:c>
      <x:c r="B709" s="32" t="n">
        <x:v>46310.41516203704</x:v>
      </x:c>
      <x:c r="C709" s="33" t="n">
        <x:v>24.144</x:v>
      </x:c>
      <x:c r="D709" s="33" t="n">
        <x:v>207.761</x:v>
      </x:c>
      <x:c r="E709" s="33" t="n">
        <x:v>83.981</x:v>
      </x:c>
      <x:c r="F709" s="31" t="str"/>
      <x:c r="G709" s="31" t="str">
        <x:f>IF(C709="","NO DATA",IF(C709&gt;=30,"ALERT","NORMAL"))</x:f>
        <x:v>NORMAL</x:v>
      </x:c>
      <x:c r="H709" s="31" t="str">
        <x:f>IF(C709="","MISSING",IF(C709&gt;=30,"HIGH TEMP","OK"))</x:f>
        <x:v>OK</x:v>
      </x:c>
      <x:c r="I709" s="31" t="str">
        <x:f>IF(E709="","NO DATA",IF(E709&lt;20,"LOW FLOW","OK"))</x:f>
        <x:v>OK</x:v>
      </x:c>
      <x:c r="J709" s="31" t="str">
        <x:f>IF(OR(C709="",D709="",E709=""),"MISSING",IF(OR(C709&lt;0,C709&gt;60,D709&lt;50,D709&gt;400,E709&lt;0,E709&gt;200),"REVIEW","OK"))</x:f>
        <x:v>OK</x:v>
      </x:c>
    </x:row>
    <x:row r="710">
      <x:c r="A710" s="31" t="n">
        <x:v>709</x:v>
      </x:c>
      <x:c r="B710" s="32" t="n">
        <x:v>46310.41527777778</x:v>
      </x:c>
      <x:c r="C710" s="33" t="n">
        <x:v>24.119</x:v>
      </x:c>
      <x:c r="D710" s="33" t="n">
        <x:v>205.662</x:v>
      </x:c>
      <x:c r="E710" s="33" t="n">
        <x:v>83.929</x:v>
      </x:c>
      <x:c r="F710" s="31" t="str"/>
      <x:c r="G710" s="31" t="str">
        <x:f>IF(C710="","NO DATA",IF(C710&gt;=30,"ALERT","NORMAL"))</x:f>
        <x:v>NORMAL</x:v>
      </x:c>
      <x:c r="H710" s="31" t="str">
        <x:f>IF(C710="","MISSING",IF(C710&gt;=30,"HIGH TEMP","OK"))</x:f>
        <x:v>OK</x:v>
      </x:c>
      <x:c r="I710" s="31" t="str">
        <x:f>IF(E710="","NO DATA",IF(E710&lt;20,"LOW FLOW","OK"))</x:f>
        <x:v>OK</x:v>
      </x:c>
      <x:c r="J710" s="31" t="str">
        <x:f>IF(OR(C710="",D710="",E710=""),"MISSING",IF(OR(C710&lt;0,C710&gt;60,D710&lt;50,D710&gt;400,E710&lt;0,E710&gt;200),"REVIEW","OK"))</x:f>
        <x:v>OK</x:v>
      </x:c>
    </x:row>
    <x:row r="711">
      <x:c r="A711" s="31" t="n">
        <x:v>710</x:v>
      </x:c>
      <x:c r="B711" s="32" t="n">
        <x:v>46310.41539351852</x:v>
      </x:c>
      <x:c r="C711" s="33" t="n">
        <x:v>24.059</x:v>
      </x:c>
      <x:c r="D711" s="33" t="n">
        <x:v>206.439</x:v>
      </x:c>
      <x:c r="E711" s="33" t="n">
        <x:v>84.821</x:v>
      </x:c>
      <x:c r="F711" s="31" t="str"/>
      <x:c r="G711" s="31" t="str">
        <x:f>IF(C711="","NO DATA",IF(C711&gt;=30,"ALERT","NORMAL"))</x:f>
        <x:v>NORMAL</x:v>
      </x:c>
      <x:c r="H711" s="31" t="str">
        <x:f>IF(C711="","MISSING",IF(C711&gt;=30,"HIGH TEMP","OK"))</x:f>
        <x:v>OK</x:v>
      </x:c>
      <x:c r="I711" s="31" t="str">
        <x:f>IF(E711="","NO DATA",IF(E711&lt;20,"LOW FLOW","OK"))</x:f>
        <x:v>OK</x:v>
      </x:c>
      <x:c r="J711" s="31" t="str">
        <x:f>IF(OR(C711="",D711="",E711=""),"MISSING",IF(OR(C711&lt;0,C711&gt;60,D711&lt;50,D711&gt;400,E711&lt;0,E711&gt;200),"REVIEW","OK"))</x:f>
        <x:v>OK</x:v>
      </x:c>
    </x:row>
    <x:row r="712">
      <x:c r="A712" s="31" t="n">
        <x:v>711</x:v>
      </x:c>
      <x:c r="B712" s="32" t="n">
        <x:v>46310.41550925926</x:v>
      </x:c>
      <x:c r="C712" s="33" t="n">
        <x:v>24.074</x:v>
      </x:c>
      <x:c r="D712" s="33" t="n">
        <x:v>206.527</x:v>
      </x:c>
      <x:c r="E712" s="33" t="n">
        <x:v>84.924</x:v>
      </x:c>
      <x:c r="F712" s="31" t="str"/>
      <x:c r="G712" s="31" t="str">
        <x:f>IF(C712="","NO DATA",IF(C712&gt;=30,"ALERT","NORMAL"))</x:f>
        <x:v>NORMAL</x:v>
      </x:c>
      <x:c r="H712" s="31" t="str">
        <x:f>IF(C712="","MISSING",IF(C712&gt;=30,"HIGH TEMP","OK"))</x:f>
        <x:v>OK</x:v>
      </x:c>
      <x:c r="I712" s="31" t="str">
        <x:f>IF(E712="","NO DATA",IF(E712&lt;20,"LOW FLOW","OK"))</x:f>
        <x:v>OK</x:v>
      </x:c>
      <x:c r="J712" s="31" t="str">
        <x:f>IF(OR(C712="",D712="",E712=""),"MISSING",IF(OR(C712&lt;0,C712&gt;60,D712&lt;50,D712&gt;400,E712&lt;0,E712&gt;200),"REVIEW","OK"))</x:f>
        <x:v>OK</x:v>
      </x:c>
    </x:row>
    <x:row r="713">
      <x:c r="A713" s="31" t="n">
        <x:v>712</x:v>
      </x:c>
      <x:c r="B713" s="32" t="n">
        <x:v>46310.415625</x:v>
      </x:c>
      <x:c r="C713" s="33" t="n">
        <x:v>23.776</x:v>
      </x:c>
      <x:c r="D713" s="33" t="n">
        <x:v>206.08</x:v>
      </x:c>
      <x:c r="E713" s="33" t="n">
        <x:v>85.536</x:v>
      </x:c>
      <x:c r="F713" s="31" t="str"/>
      <x:c r="G713" s="31" t="str">
        <x:f>IF(C713="","NO DATA",IF(C713&gt;=30,"ALERT","NORMAL"))</x:f>
        <x:v>NORMAL</x:v>
      </x:c>
      <x:c r="H713" s="31" t="str">
        <x:f>IF(C713="","MISSING",IF(C713&gt;=30,"HIGH TEMP","OK"))</x:f>
        <x:v>OK</x:v>
      </x:c>
      <x:c r="I713" s="31" t="str">
        <x:f>IF(E713="","NO DATA",IF(E713&lt;20,"LOW FLOW","OK"))</x:f>
        <x:v>OK</x:v>
      </x:c>
      <x:c r="J713" s="31" t="str">
        <x:f>IF(OR(C713="",D713="",E713=""),"MISSING",IF(OR(C713&lt;0,C713&gt;60,D713&lt;50,D713&gt;400,E713&lt;0,E713&gt;200),"REVIEW","OK"))</x:f>
        <x:v>OK</x:v>
      </x:c>
    </x:row>
    <x:row r="714">
      <x:c r="A714" s="31" t="n">
        <x:v>713</x:v>
      </x:c>
      <x:c r="B714" s="32" t="n">
        <x:v>46310.41574074074</x:v>
      </x:c>
      <x:c r="C714" s="33" t="n">
        <x:v>23.895</x:v>
      </x:c>
      <x:c r="D714" s="33" t="n">
        <x:v>206.253</x:v>
      </x:c>
      <x:c r="E714" s="33" t="n">
        <x:v>85.495</x:v>
      </x:c>
      <x:c r="F714" s="31" t="str"/>
      <x:c r="G714" s="31" t="str">
        <x:f>IF(C714="","NO DATA",IF(C714&gt;=30,"ALERT","NORMAL"))</x:f>
        <x:v>NORMAL</x:v>
      </x:c>
      <x:c r="H714" s="31" t="str">
        <x:f>IF(C714="","MISSING",IF(C714&gt;=30,"HIGH TEMP","OK"))</x:f>
        <x:v>OK</x:v>
      </x:c>
      <x:c r="I714" s="31" t="str">
        <x:f>IF(E714="","NO DATA",IF(E714&lt;20,"LOW FLOW","OK"))</x:f>
        <x:v>OK</x:v>
      </x:c>
      <x:c r="J714" s="31" t="str">
        <x:f>IF(OR(C714="",D714="",E714=""),"MISSING",IF(OR(C714&lt;0,C714&gt;60,D714&lt;50,D714&gt;400,E714&lt;0,E714&gt;200),"REVIEW","OK"))</x:f>
        <x:v>OK</x:v>
      </x:c>
    </x:row>
    <x:row r="715">
      <x:c r="A715" s="31" t="n">
        <x:v>714</x:v>
      </x:c>
      <x:c r="B715" s="32" t="n">
        <x:v>46310.41585648148</x:v>
      </x:c>
      <x:c r="C715" s="33" t="n">
        <x:v>23.858</x:v>
      </x:c>
      <x:c r="D715" s="33" t="n">
        <x:v>207.154</x:v>
      </x:c>
      <x:c r="E715" s="33" t="n">
        <x:v>84.899</x:v>
      </x:c>
      <x:c r="F715" s="31" t="str"/>
      <x:c r="G715" s="31" t="str">
        <x:f>IF(C715="","NO DATA",IF(C715&gt;=30,"ALERT","NORMAL"))</x:f>
        <x:v>NORMAL</x:v>
      </x:c>
      <x:c r="H715" s="31" t="str">
        <x:f>IF(C715="","MISSING",IF(C715&gt;=30,"HIGH TEMP","OK"))</x:f>
        <x:v>OK</x:v>
      </x:c>
      <x:c r="I715" s="31" t="str">
        <x:f>IF(E715="","NO DATA",IF(E715&lt;20,"LOW FLOW","OK"))</x:f>
        <x:v>OK</x:v>
      </x:c>
      <x:c r="J715" s="31" t="str">
        <x:f>IF(OR(C715="",D715="",E715=""),"MISSING",IF(OR(C715&lt;0,C715&gt;60,D715&lt;50,D715&gt;400,E715&lt;0,E715&gt;200),"REVIEW","OK"))</x:f>
        <x:v>OK</x:v>
      </x:c>
    </x:row>
    <x:row r="716">
      <x:c r="A716" s="31" t="n">
        <x:v>715</x:v>
      </x:c>
      <x:c r="B716" s="32" t="n">
        <x:v>46310.415972222225</x:v>
      </x:c>
      <x:c r="C716" s="33" t="n">
        <x:v>23.735</x:v>
      </x:c>
      <x:c r="D716" s="33" t="n">
        <x:v>206.904</x:v>
      </x:c>
      <x:c r="E716" s="33" t="n">
        <x:v>85.3</x:v>
      </x:c>
      <x:c r="F716" s="31" t="str"/>
      <x:c r="G716" s="31" t="str">
        <x:f>IF(C716="","NO DATA",IF(C716&gt;=30,"ALERT","NORMAL"))</x:f>
        <x:v>NORMAL</x:v>
      </x:c>
      <x:c r="H716" s="31" t="str">
        <x:f>IF(C716="","MISSING",IF(C716&gt;=30,"HIGH TEMP","OK"))</x:f>
        <x:v>OK</x:v>
      </x:c>
      <x:c r="I716" s="31" t="str">
        <x:f>IF(E716="","NO DATA",IF(E716&lt;20,"LOW FLOW","OK"))</x:f>
        <x:v>OK</x:v>
      </x:c>
      <x:c r="J716" s="31" t="str">
        <x:f>IF(OR(C716="",D716="",E716=""),"MISSING",IF(OR(C716&lt;0,C716&gt;60,D716&lt;50,D716&gt;400,E716&lt;0,E716&gt;200),"REVIEW","OK"))</x:f>
        <x:v>OK</x:v>
      </x:c>
    </x:row>
    <x:row r="717">
      <x:c r="A717" s="31" t="n">
        <x:v>716</x:v>
      </x:c>
      <x:c r="B717" s="32" t="n">
        <x:v>46310.41608796296</x:v>
      </x:c>
      <x:c r="C717" s="33" t="n">
        <x:v>23.904</x:v>
      </x:c>
      <x:c r="D717" s="33" t="n">
        <x:v>205.231</x:v>
      </x:c>
      <x:c r="E717" s="33" t="n">
        <x:v>83.822</x:v>
      </x:c>
      <x:c r="F717" s="31" t="str"/>
      <x:c r="G717" s="31" t="str">
        <x:f>IF(C717="","NO DATA",IF(C717&gt;=30,"ALERT","NORMAL"))</x:f>
        <x:v>NORMAL</x:v>
      </x:c>
      <x:c r="H717" s="31" t="str">
        <x:f>IF(C717="","MISSING",IF(C717&gt;=30,"HIGH TEMP","OK"))</x:f>
        <x:v>OK</x:v>
      </x:c>
      <x:c r="I717" s="31" t="str">
        <x:f>IF(E717="","NO DATA",IF(E717&lt;20,"LOW FLOW","OK"))</x:f>
        <x:v>OK</x:v>
      </x:c>
      <x:c r="J717" s="31" t="str">
        <x:f>IF(OR(C717="",D717="",E717=""),"MISSING",IF(OR(C717&lt;0,C717&gt;60,D717&lt;50,D717&gt;400,E717&lt;0,E717&gt;200),"REVIEW","OK"))</x:f>
        <x:v>OK</x:v>
      </x:c>
    </x:row>
    <x:row r="718">
      <x:c r="A718" s="31" t="n">
        <x:v>717</x:v>
      </x:c>
      <x:c r="B718" s="32" t="n">
        <x:v>46310.4162037037</x:v>
      </x:c>
      <x:c r="C718" s="33" t="n">
        <x:v>23.885</x:v>
      </x:c>
      <x:c r="D718" s="33" t="n">
        <x:v>206.827</x:v>
      </x:c>
      <x:c r="E718" s="33" t="n">
        <x:v>85.288</x:v>
      </x:c>
      <x:c r="F718" s="31" t="str"/>
      <x:c r="G718" s="31" t="str">
        <x:f>IF(C718="","NO DATA",IF(C718&gt;=30,"ALERT","NORMAL"))</x:f>
        <x:v>NORMAL</x:v>
      </x:c>
      <x:c r="H718" s="31" t="str">
        <x:f>IF(C718="","MISSING",IF(C718&gt;=30,"HIGH TEMP","OK"))</x:f>
        <x:v>OK</x:v>
      </x:c>
      <x:c r="I718" s="31" t="str">
        <x:f>IF(E718="","NO DATA",IF(E718&lt;20,"LOW FLOW","OK"))</x:f>
        <x:v>OK</x:v>
      </x:c>
      <x:c r="J718" s="31" t="str">
        <x:f>IF(OR(C718="",D718="",E718=""),"MISSING",IF(OR(C718&lt;0,C718&gt;60,D718&lt;50,D718&gt;400,E718&lt;0,E718&gt;200),"REVIEW","OK"))</x:f>
        <x:v>OK</x:v>
      </x:c>
    </x:row>
    <x:row r="719">
      <x:c r="A719" s="31" t="n">
        <x:v>718</x:v>
      </x:c>
      <x:c r="B719" s="32" t="n">
        <x:v>46310.41631944444</x:v>
      </x:c>
      <x:c r="C719" s="33" t="n">
        <x:v>23.748</x:v>
      </x:c>
      <x:c r="D719" s="33" t="n">
        <x:v>205.189</x:v>
      </x:c>
      <x:c r="E719" s="33" t="n">
        <x:v>83.581</x:v>
      </x:c>
      <x:c r="F719" s="31" t="str"/>
      <x:c r="G719" s="31" t="str">
        <x:f>IF(C719="","NO DATA",IF(C719&gt;=30,"ALERT","NORMAL"))</x:f>
        <x:v>NORMAL</x:v>
      </x:c>
      <x:c r="H719" s="31" t="str">
        <x:f>IF(C719="","MISSING",IF(C719&gt;=30,"HIGH TEMP","OK"))</x:f>
        <x:v>OK</x:v>
      </x:c>
      <x:c r="I719" s="31" t="str">
        <x:f>IF(E719="","NO DATA",IF(E719&lt;20,"LOW FLOW","OK"))</x:f>
        <x:v>OK</x:v>
      </x:c>
      <x:c r="J719" s="31" t="str">
        <x:f>IF(OR(C719="",D719="",E719=""),"MISSING",IF(OR(C719&lt;0,C719&gt;60,D719&lt;50,D719&gt;400,E719&lt;0,E719&gt;200),"REVIEW","OK"))</x:f>
        <x:v>OK</x:v>
      </x:c>
    </x:row>
    <x:row r="720">
      <x:c r="A720" s="31" t="n">
        <x:v>719</x:v>
      </x:c>
      <x:c r="B720" s="32" t="n">
        <x:v>46310.41643518519</x:v>
      </x:c>
      <x:c r="C720" s="33" t="n">
        <x:v>23.727</x:v>
      </x:c>
      <x:c r="D720" s="33" t="n">
        <x:v>205.897</x:v>
      </x:c>
      <x:c r="E720" s="33" t="n">
        <x:v>84.265</x:v>
      </x:c>
      <x:c r="F720" s="31" t="str"/>
      <x:c r="G720" s="31" t="str">
        <x:f>IF(C720="","NO DATA",IF(C720&gt;=30,"ALERT","NORMAL"))</x:f>
        <x:v>NORMAL</x:v>
      </x:c>
      <x:c r="H720" s="31" t="str">
        <x:f>IF(C720="","MISSING",IF(C720&gt;=30,"HIGH TEMP","OK"))</x:f>
        <x:v>OK</x:v>
      </x:c>
      <x:c r="I720" s="31" t="str">
        <x:f>IF(E720="","NO DATA",IF(E720&lt;20,"LOW FLOW","OK"))</x:f>
        <x:v>OK</x:v>
      </x:c>
      <x:c r="J720" s="31" t="str">
        <x:f>IF(OR(C720="",D720="",E720=""),"MISSING",IF(OR(C720&lt;0,C720&gt;60,D720&lt;50,D720&gt;400,E720&lt;0,E720&gt;200),"REVIEW","OK"))</x:f>
        <x:v>OK</x:v>
      </x:c>
    </x:row>
    <x:row r="721">
      <x:c r="A721" s="31" t="n">
        <x:v>720</x:v>
      </x:c>
      <x:c r="B721" s="32" t="n">
        <x:v>46310.416550925926</x:v>
      </x:c>
      <x:c r="C721" s="33" t="n">
        <x:v>23.656</x:v>
      </x:c>
      <x:c r="D721" s="33" t="n">
        <x:v>205.331</x:v>
      </x:c>
      <x:c r="E721" s="33" t="n">
        <x:v>84.739</x:v>
      </x:c>
      <x:c r="F721" s="31" t="str"/>
      <x:c r="G721" s="31" t="str">
        <x:f>IF(C721="","NO DATA",IF(C721&gt;=30,"ALERT","NORMAL"))</x:f>
        <x:v>NORMAL</x:v>
      </x:c>
      <x:c r="H721" s="31" t="str">
        <x:f>IF(C721="","MISSING",IF(C721&gt;=30,"HIGH TEMP","OK"))</x:f>
        <x:v>OK</x:v>
      </x:c>
      <x:c r="I721" s="31" t="str">
        <x:f>IF(E721="","NO DATA",IF(E721&lt;20,"LOW FLOW","OK"))</x:f>
        <x:v>OK</x:v>
      </x:c>
      <x:c r="J721" s="31" t="str">
        <x:f>IF(OR(C721="",D721="",E721=""),"MISSING",IF(OR(C721&lt;0,C721&gt;60,D721&lt;50,D721&gt;400,E721&lt;0,E721&gt;200),"REVIEW","OK"))</x:f>
        <x:v>OK</x:v>
      </x:c>
    </x:row>
  </x:sheetData>
  <x:conditionalFormatting sqref="G2:G721">
    <x:cfRule type="expression" dxfId="0" priority="1">
      <x:formula>G2="ALERT"</x:formula>
    </x:cfRule>
  </x:conditionalFormatting>
  <x:conditionalFormatting sqref="I2:I721">
    <x:cfRule type="expression" dxfId="1" priority="2">
      <x:formula>I2="LOW FLOW"</x:formula>
    </x:cfRule>
  </x:conditionalFormatting>
  <x:conditionalFormatting sqref="J2:J721">
    <x:cfRule type="expression" dxfId="2" priority="3">
      <x:formula>J2&lt;&gt;"OK"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7b3f6cd5b04e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34" hidden="0" customWidth="1"/>
    <x:col min="5" max="5" width="18" hidden="0" customWidth="1"/>
  </x:cols>
  <x:sheetData>
    <x:row r="1">
      <x:c r="A1" s="4" t="str">
        <x:v>Legacy Cooling Loop Summary Dashboard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Metric</x:v>
      </x:c>
      <x:c r="B3" s="11" t="str">
        <x:v>Value</x:v>
      </x:c>
      <x:c r="D3" s="11" t="str">
        <x:v>Legacy Rule</x:v>
      </x:c>
      <x:c r="E3" s="11" t="str">
        <x:v>Value</x:v>
      </x:c>
    </x:row>
    <x:row r="4">
      <x:c r="A4" s="40" t="str">
        <x:v>Total Records</x:v>
      </x:c>
      <x:c r="B4" s="40" t="n">
        <x:f>COUNTA(Sensor_Log!A2:A721)</x:f>
        <x:v>720</x:v>
      </x:c>
      <x:c r="D4" s="40" t="str">
        <x:v>High Temp Trigger (°C)</x:v>
      </x:c>
      <x:c r="E4" s="40" t="n">
        <x:v>30</x:v>
      </x:c>
    </x:row>
    <x:row r="5">
      <x:c r="A5" s="40" t="str">
        <x:v>Average Temperature (°C)</x:v>
      </x:c>
      <x:c r="B5" s="38" t="n">
        <x:f>AVERAGE(Sensor_Log!C2:C721)</x:f>
        <x:v>24.276524999999967</x:v>
      </x:c>
      <x:c r="D5" s="40" t="str">
        <x:v>Intended Low Flow Trigger (L/min)</x:v>
      </x:c>
      <x:c r="E5" s="40" t="n">
        <x:v>25</x:v>
      </x:c>
    </x:row>
    <x:row r="6">
      <x:c r="A6" s="40" t="str">
        <x:v>Maximum Temperature (°C)</x:v>
      </x:c>
      <x:c r="B6" s="38" t="n">
        <x:f>MAX(Sensor_Log!C2:C721)</x:f>
        <x:v>84</x:v>
      </x:c>
      <x:c r="D6" s="40" t="str">
        <x:v>Workbook Flow Alert Trigger (L/min)</x:v>
      </x:c>
      <x:c r="E6" s="40" t="n">
        <x:v>20</x:v>
      </x:c>
    </x:row>
    <x:row r="7">
      <x:c r="A7" s="40" t="str">
        <x:v>Average Pressure (kPa)</x:v>
      </x:c>
      <x:c r="B7" s="38" t="n">
        <x:f>AVERAGE(Sensor_Log!D2:D721)</x:f>
        <x:v>212.16040000000015</x:v>
      </x:c>
      <x:c r="D7" s="40" t="str">
        <x:v>Pressure Supported Range (kPa)</x:v>
      </x:c>
      <x:c r="E7" s="40" t="str">
        <x:v>50–400</x:v>
      </x:c>
    </x:row>
    <x:row r="8">
      <x:c r="A8" s="40" t="str">
        <x:v>Maximum Pressure (kPa)</x:v>
      </x:c>
      <x:c r="B8" s="38" t="n">
        <x:f>MAX(Sensor_Log!D2:D721)</x:f>
        <x:v>483.985</x:v>
      </x:c>
    </x:row>
    <x:row r="9">
      <x:c r="A9" s="40" t="str">
        <x:v>Average Flow (L/min)</x:v>
      </x:c>
      <x:c r="B9" s="38" t="n">
        <x:f>AVERAGE(Sensor_Log!E2:E721)</x:f>
        <x:v>79.46737026647955</x:v>
      </x:c>
    </x:row>
    <x:row r="10">
      <x:c r="A10" s="40" t="str">
        <x:v>Minimum Flow (L/min)</x:v>
      </x:c>
      <x:c r="B10" s="38" t="n">
        <x:f>MIN(Sensor_Log!E2:E721)</x:f>
        <x:v>20.772</x:v>
      </x:c>
    </x:row>
    <x:row r="11">
      <x:c r="A11" s="40" t="str">
        <x:v>Legacy ALERT Rows</x:v>
      </x:c>
      <x:c r="B11" s="40" t="n">
        <x:f>COUNTIF(Sensor_Log!G2:G721,"ALERT")</x:f>
        <x:v>16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f4c9ab53dd14ea6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>
      <x:c r="A1" s="43" t="str">
        <x:v>INSTRUCTOR KEY — Demo Workbook Verification Notes</x:v>
      </x:c>
      <x:c r="B1" s="43"/>
      <x:c r="C1" s="43"/>
      <x:c r="D1" s="43"/>
      <x:c r="E1" s="43"/>
      <x:c r="F1" s="43"/>
    </x:row>
    <x:row r="3">
      <x:c r="A3" s="51" t="str">
        <x:v>Item</x:v>
      </x:c>
      <x:c r="B3" s="16" t="str">
        <x:v>Instructor Note</x:v>
      </x:c>
    </x:row>
    <x:row r="4">
      <x:c r="A4" s="51" t="str">
        <x:v>Known-Correct Normal Case</x:v>
      </x:c>
      <x:c r="B4" s="16" t="str">
        <x:v>Record 100 should be normal; all values are within intended ranges.</x:v>
      </x:c>
    </x:row>
    <x:row r="5">
      <x:c r="A5" s="51" t="str">
        <x:v>Known-Correct High Temp</x:v>
      </x:c>
      <x:c r="B5" s="16" t="str">
        <x:v>Rows around 181–206 exceed the 30 °C high-temperature trigger and should alert.</x:v>
      </x:c>
    </x:row>
    <x:row r="6">
      <x:c r="A6" s="51" t="str">
        <x:v>Legacy Defect 1</x:v>
      </x:c>
      <x:c r="B6" s="16" t="str">
        <x:v>Legacy_Status checks temperature only. It ignores pressure and flow, so it can report NORMAL during unsafe flow/pressure conditions.</x:v>
      </x:c>
    </x:row>
    <x:row r="7">
      <x:c r="A7" s="51" t="str">
        <x:v>Legacy Defect 2</x:v>
      </x:c>
      <x:c r="B7" s="16" t="str">
        <x:v>Flow_Alert uses &lt;20 L/min even though intended threshold is &lt;25 L/min. Low-flow event around records 611–636 is therefore missed by the legacy flow alert.</x:v>
      </x:c>
    </x:row>
    <x:row r="8">
      <x:c r="A8" s="51" t="str">
        <x:v>Legacy Weakness 3</x:v>
      </x:c>
      <x:c r="B8" s="16" t="str">
        <x:v>Missing flow rows 301–307 are flagged by Data_Quality but Legacy_Status can still show NORMAL because it evaluates only temperature.</x:v>
      </x:c>
    </x:row>
    <x:row r="9">
      <x:c r="A9" s="51" t="str">
        <x:v>Out-of-Range Temp</x:v>
      </x:c>
      <x:c r="B9" s="16" t="str">
        <x:v>Record 411 has 84 °C and record 412 has -12 °C. Data_Quality should request review.</x:v>
      </x:c>
    </x:row>
    <x:row r="10">
      <x:c r="A10" s="51" t="str">
        <x:v>Out-of-Range Pressure</x:v>
      </x:c>
      <x:c r="B10" s="16" t="str">
        <x:v>Rows around 501–505 exceed the supported pressure range.</x:v>
      </x:c>
    </x:row>
    <x:row r="11">
      <x:c r="A11" s="51" t="str">
        <x:v>Capstone Demo Goal</x:v>
      </x:c>
      <x:c r="B11" s="16" t="str">
        <x:v>Show how the app validates all fields, uses the intended 25 L/min threshold, produces dashboards/logs, refuses bad data, and documents limits.</x:v>
      </x:c>
    </x:row>
  </x:sheetData>
  <x:mergeCells>
    <x:mergeCell ref="A1:F1"/>
  </x:mergeCells>
  <x:pageMargins left="0.7" right="0.7" top="0.75" bottom="0.75" header="0.3" footer="0.3"/>
</x:worksheet>
</file>